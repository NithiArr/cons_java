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Ganapathy Residence @ VSN Garden/Accounts/"/>
    </mc:Choice>
  </mc:AlternateContent>
  <xr:revisionPtr revIDLastSave="978" documentId="13_ncr:1_{214A6028-1054-4F6B-A253-454EBD54C90F}" xr6:coauthVersionLast="47" xr6:coauthVersionMax="47" xr10:uidLastSave="{37045FD1-73F4-41A0-AA37-6F51CD88EF38}"/>
  <bookViews>
    <workbookView xWindow="-110" yWindow="-110" windowWidth="19420" windowHeight="11500" activeTab="1" xr2:uid="{00000000-000D-0000-FFFF-FFFF00000000}"/>
  </bookViews>
  <sheets>
    <sheet name="Payment Received" sheetId="20" r:id="rId1"/>
    <sheet name="Expenses" sheetId="2" r:id="rId2"/>
    <sheet name="DataSource" sheetId="17" r:id="rId3"/>
    <sheet name="Overview" sheetId="16" r:id="rId4"/>
    <sheet name="Detail1" sheetId="7" state="hidden" r:id="rId5"/>
  </sheets>
  <definedNames>
    <definedName name="_xlnm._FilterDatabase" localSheetId="1" hidden="1">Expenses!$A$1:$D$42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M1" i="20"/>
  <c r="J1" i="2" s="1"/>
  <c r="J3" i="2" l="1"/>
</calcChain>
</file>

<file path=xl/sharedStrings.xml><?xml version="1.0" encoding="utf-8"?>
<sst xmlns="http://schemas.openxmlformats.org/spreadsheetml/2006/main" count="255" uniqueCount="114">
  <si>
    <t>DATE</t>
  </si>
  <si>
    <t>AMOUNT</t>
  </si>
  <si>
    <t>MODE OF PAYMENT</t>
  </si>
  <si>
    <t>DESCRIPTION</t>
  </si>
  <si>
    <t>TYPE OF EXPENSE</t>
  </si>
  <si>
    <t>PETTY CASH</t>
  </si>
  <si>
    <t>Cash Received:</t>
  </si>
  <si>
    <t>Amount Spent:</t>
  </si>
  <si>
    <t>Paid advance for Concrete Machine</t>
  </si>
  <si>
    <t>OFFICE ASSET</t>
  </si>
  <si>
    <t>Paid to Prakash for buying Concrete Machine</t>
  </si>
  <si>
    <t>Vibrator and Safety Shoe (2 nos)</t>
  </si>
  <si>
    <t>Grand Total</t>
  </si>
  <si>
    <t>Balance:</t>
  </si>
  <si>
    <t>2*3 Sheet 23nos 379Kg 400 for transport 63Rs/kg</t>
  </si>
  <si>
    <t>Details for Sum of AMOUNT - TYPE OF EXPENSE: OFFICE ASSET</t>
  </si>
  <si>
    <t>Total_Amount</t>
  </si>
  <si>
    <t>Expense</t>
  </si>
  <si>
    <t>CASH</t>
  </si>
  <si>
    <t>MASON MATERIALS</t>
  </si>
  <si>
    <t>CENTRING MATERIALS</t>
  </si>
  <si>
    <t>BUILDING MATERIALS</t>
  </si>
  <si>
    <t>MASON LABOUR</t>
  </si>
  <si>
    <t>CONCRETE GROUP</t>
  </si>
  <si>
    <t>CENTRING LABOUR</t>
  </si>
  <si>
    <t>PLUMBING LABOUR</t>
  </si>
  <si>
    <t>PAINTING LABOUR</t>
  </si>
  <si>
    <t>PETROL-GENSET</t>
  </si>
  <si>
    <t>DIESEL-MACHINE</t>
  </si>
  <si>
    <t>TEA</t>
  </si>
  <si>
    <t>JCB</t>
  </si>
  <si>
    <t>CENTRING RENTALS</t>
  </si>
  <si>
    <t>RENTAL TRANSPORT</t>
  </si>
  <si>
    <t>LABOUR TRANSPORT</t>
  </si>
  <si>
    <t>OTHER TRANSPORT</t>
  </si>
  <si>
    <t>SALT WATER</t>
  </si>
  <si>
    <t>OFFC ASSET</t>
  </si>
  <si>
    <t>PAID BY</t>
  </si>
  <si>
    <t>DIESEL</t>
  </si>
  <si>
    <t>SALARY</t>
  </si>
  <si>
    <t>RO WATER</t>
  </si>
  <si>
    <t>Verified</t>
  </si>
  <si>
    <t>FABRICATON WORK</t>
  </si>
  <si>
    <t>DESIGN</t>
  </si>
  <si>
    <t>CLIENT</t>
  </si>
  <si>
    <t>Advance Payment</t>
  </si>
  <si>
    <t>Total Amount Received:</t>
  </si>
  <si>
    <t>Red brick 5000*12</t>
  </si>
  <si>
    <t>Curing Oose nipple - Bal 50 with Rajkumar</t>
  </si>
  <si>
    <t>For column breaking</t>
  </si>
  <si>
    <t>Column Demolish and Breaker Rent</t>
  </si>
  <si>
    <t>Rajkumar Advance</t>
  </si>
  <si>
    <t>Cement 3 bags local purchase 340*3</t>
  </si>
  <si>
    <t>Hand dryer and Blade</t>
  </si>
  <si>
    <t xml:space="preserve">Selvam Plumbing Materials </t>
  </si>
  <si>
    <t>Mason Lab Payment</t>
  </si>
  <si>
    <t>Fitter lab Payment</t>
  </si>
  <si>
    <t>Conc machine from Gsquare</t>
  </si>
  <si>
    <t>Labour tea expesne</t>
  </si>
  <si>
    <t>Wood cutter blade</t>
  </si>
  <si>
    <t>JOINERIES</t>
  </si>
  <si>
    <t>Teak wood purchase</t>
  </si>
  <si>
    <t>Rajkumar lab payment</t>
  </si>
  <si>
    <t xml:space="preserve">Brick 3000 nos </t>
  </si>
  <si>
    <t>Structural Drawing Amount</t>
  </si>
  <si>
    <t>Shoe - Prasanth Bal amount</t>
  </si>
  <si>
    <t>Ganapathy Tea</t>
  </si>
  <si>
    <t>Nails Blade Marker</t>
  </si>
  <si>
    <t>Ramesh fitter lab</t>
  </si>
  <si>
    <t>AK Steels Payment</t>
  </si>
  <si>
    <t>Steel cutter blade</t>
  </si>
  <si>
    <t>Advance Ramesh</t>
  </si>
  <si>
    <t>ELECTRICAL LABOUR</t>
  </si>
  <si>
    <t>Roof pipe work</t>
  </si>
  <si>
    <t>Diesel Machine Concrete</t>
  </si>
  <si>
    <t>Pooja items concrete</t>
  </si>
  <si>
    <t>Roof concrete</t>
  </si>
  <si>
    <t>Roof Selvam Lab</t>
  </si>
  <si>
    <t>AMT Centring Sheet</t>
  </si>
  <si>
    <t>Shoe Rent SF</t>
  </si>
  <si>
    <t>Steel transport  Nithish</t>
  </si>
  <si>
    <t>Car Diesel</t>
  </si>
  <si>
    <t>FF Point Marking</t>
  </si>
  <si>
    <t>Brick 2000 nos</t>
  </si>
  <si>
    <t>CARPENTER LABOUR</t>
  </si>
  <si>
    <t>Nilavu labour adv</t>
  </si>
  <si>
    <t>Offc Salary</t>
  </si>
  <si>
    <t>Kannan Adv</t>
  </si>
  <si>
    <t>Porter Palagai from MKP colony</t>
  </si>
  <si>
    <t>Wood purchase for Windows</t>
  </si>
  <si>
    <t>Fitter lab Advance</t>
  </si>
  <si>
    <t>Clamp nails for nilavu fixing - Nithish</t>
  </si>
  <si>
    <t>Fitter lab payment</t>
  </si>
  <si>
    <t>Lab Tea</t>
  </si>
  <si>
    <t>Nails for Roof</t>
  </si>
  <si>
    <t>Rajkumar lab adv</t>
  </si>
  <si>
    <t>Column box</t>
  </si>
  <si>
    <t>Concrete Machine Diesel Nithish</t>
  </si>
  <si>
    <t>Cement Transfer from Happy Town Nithish</t>
  </si>
  <si>
    <t>Labour Advance</t>
  </si>
  <si>
    <t>Second floor Roof concrete</t>
  </si>
  <si>
    <t>Kannan Xtra</t>
  </si>
  <si>
    <t>1000 Roof conc 2000 gaudi work</t>
  </si>
  <si>
    <t>Window grill Payment</t>
  </si>
  <si>
    <t>Tea Lab</t>
  </si>
  <si>
    <t>Selvam FF pipe work</t>
  </si>
  <si>
    <t>Electrical Pipe Purchase by Selvam</t>
  </si>
  <si>
    <t>Palani Murugan Payment</t>
  </si>
  <si>
    <t>Vel Brick</t>
  </si>
  <si>
    <t>Nilavu and Window work</t>
  </si>
  <si>
    <t>Azhagiri Mason Adv</t>
  </si>
  <si>
    <t>Selvam Labour</t>
  </si>
  <si>
    <t>Carpenter Advance</t>
  </si>
  <si>
    <t>RSK part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</si>
</sst>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₹&quot;\ #,##0.00;[Red]&quot;₹&quot;\ \-#,##0.00"/>
    <numFmt numFmtId="164" formatCode="dd/mm/yy"/>
    <numFmt numFmtId="165" formatCode="&quot;₹&quot;\ #,##0.00;[Red]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/>
    <xf numFmtId="0" fontId="3" fillId="0" borderId="1" xfId="0" applyFont="1" applyBorder="1"/>
    <xf numFmtId="14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1" xfId="0" pivotButton="1" applyBorder="1"/>
    <xf numFmtId="0" fontId="4" fillId="0" borderId="1" xfId="0" applyFont="1" applyBorder="1"/>
    <xf numFmtId="0" fontId="3" fillId="0" borderId="0" xfId="0" applyFont="1"/>
    <xf numFmtId="8" fontId="0" fillId="0" borderId="1" xfId="0" applyNumberFormat="1" applyBorder="1"/>
    <xf numFmtId="8" fontId="0" fillId="0" borderId="0" xfId="0" applyNumberFormat="1"/>
    <xf numFmtId="164" fontId="0" fillId="2" borderId="1" xfId="0" applyNumberFormat="1" applyFill="1" applyBorder="1"/>
    <xf numFmtId="0" fontId="0" fillId="2" borderId="1" xfId="0" applyFill="1" applyBorder="1"/>
    <xf numFmtId="165" fontId="0" fillId="2" borderId="1" xfId="0" applyNumberFormat="1" applyFill="1" applyBorder="1"/>
    <xf numFmtId="164" fontId="0" fillId="3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2" borderId="0" xfId="0" applyFill="1"/>
    <xf numFmtId="0" fontId="0" fillId="0" borderId="2" xfId="0" applyBorder="1"/>
    <xf numFmtId="164" fontId="0" fillId="0" borderId="1" xfId="0" applyNumberFormat="1" applyFill="1" applyBorder="1"/>
    <xf numFmtId="0" fontId="0" fillId="0" borderId="1" xfId="0" applyFill="1" applyBorder="1"/>
    <xf numFmtId="165" fontId="0" fillId="0" borderId="1" xfId="0" applyNumberFormat="1" applyFill="1" applyBorder="1"/>
  </cellXfs>
  <cellStyles count="1">
    <cellStyle name="Normal" xfId="0" builtinId="0"/>
  </cellStyles>
  <dxfs count="6">
    <dxf>
      <numFmt numFmtId="19" formatCode="dd/mm/yyyy"/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MIL" refreshedDate="46122.450627777776" createdVersion="8" refreshedVersion="8" minRefreshableVersion="3" recordCount="245" xr:uid="{ECDDBE9B-8132-48D6-AEC8-4A5EB49DBA77}">
  <cacheSource type="worksheet">
    <worksheetSource ref="A1:D1006" sheet="Expenses"/>
  </cacheSource>
  <cacheFields count="4">
    <cacheField name="DATE" numFmtId="164">
      <sharedItems containsNonDate="0" containsDate="1" containsString="0" containsBlank="1" minDate="2026-01-28T00:00:00" maxDate="2026-04-10T00:00:00"/>
    </cacheField>
    <cacheField name="TYPE OF EXPENSE" numFmtId="0">
      <sharedItems containsBlank="1" count="27">
        <s v="BUILDING MATERIALS"/>
        <s v="PETTY CASH"/>
        <s v="MASON LABOUR"/>
        <s v="CENTRING RENTALS"/>
        <s v="CENTRING LABOUR"/>
        <s v="OTHER TRANSPORT"/>
        <s v="TEA"/>
        <s v="CENTRING MATERIALS"/>
        <s v="JOINERIES"/>
        <s v="DESIGN"/>
        <s v="ELECTRICAL LABOUR"/>
        <s v="DIESEL-MACHINE"/>
        <s v="CONCRETE GROUP"/>
        <s v="DIESEL"/>
        <s v="CARPENTER LABOUR"/>
        <s v="SALARY"/>
        <m/>
        <s v="LABOUR TRANSPORT" u="1"/>
        <s v="MASON MATERIALS" u="1"/>
        <s v="JCB" u="1"/>
        <s v="OFFC ASSET" u="1"/>
        <s v="RO WATER" u="1"/>
        <s v="SALT WATER" u="1"/>
        <s v="ELECTRICIAL LABOUR" u="1"/>
        <s v="FABRICATON WORK" u="1"/>
        <s v="RENTAL TRANSPORT" u="1"/>
        <s v="PETROL-GENSET" u="1"/>
      </sharedItems>
    </cacheField>
    <cacheField name="AMOUNT" numFmtId="165">
      <sharedItems containsString="0" containsBlank="1" containsNumber="1" containsInteger="1" minValue="80" maxValue="253000"/>
    </cacheField>
    <cacheField name="DESCRIP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d v="2026-01-28T00:00:00"/>
    <x v="0"/>
    <n v="60000"/>
    <s v="Red brick 5000*12"/>
  </r>
  <r>
    <d v="2026-01-31T00:00:00"/>
    <x v="1"/>
    <n v="950"/>
    <s v="Curing Oose nipple - Bal 50 with Rajkumar"/>
  </r>
  <r>
    <d v="2026-01-31T00:00:00"/>
    <x v="2"/>
    <n v="4500"/>
    <s v="For column breaking"/>
  </r>
  <r>
    <d v="2026-02-02T00:00:00"/>
    <x v="1"/>
    <n v="5000"/>
    <s v="Column Demolish and Breaker Rent"/>
  </r>
  <r>
    <d v="2026-02-04T00:00:00"/>
    <x v="3"/>
    <n v="500"/>
    <s v="Hand dryer and Blade"/>
  </r>
  <r>
    <d v="2026-02-04T00:00:00"/>
    <x v="2"/>
    <n v="3000"/>
    <s v="Rajkumar Advance"/>
  </r>
  <r>
    <d v="2026-02-04T00:00:00"/>
    <x v="0"/>
    <n v="1020"/>
    <s v="Cement 3 bags local purchase 340*3"/>
  </r>
  <r>
    <d v="2026-02-07T00:00:00"/>
    <x v="1"/>
    <n v="320"/>
    <s v="Selvam Plumbing Materials "/>
  </r>
  <r>
    <d v="2026-02-07T00:00:00"/>
    <x v="2"/>
    <n v="37200"/>
    <s v="Mason Lab Payment"/>
  </r>
  <r>
    <d v="2026-02-07T00:00:00"/>
    <x v="4"/>
    <n v="12400"/>
    <s v="Fitter lab Payment"/>
  </r>
  <r>
    <d v="2026-02-07T00:00:00"/>
    <x v="5"/>
    <n v="2000"/>
    <s v="Conc machine from Gsquare"/>
  </r>
  <r>
    <d v="2026-02-14T00:00:00"/>
    <x v="2"/>
    <n v="14600"/>
    <s v="Mason Lab Payment"/>
  </r>
  <r>
    <d v="2026-02-16T00:00:00"/>
    <x v="6"/>
    <n v="1500"/>
    <s v="Labour tea expesne"/>
  </r>
  <r>
    <d v="2026-02-16T00:00:00"/>
    <x v="7"/>
    <n v="180"/>
    <s v="Wood cutter blade"/>
  </r>
  <r>
    <d v="2026-02-19T00:00:00"/>
    <x v="8"/>
    <n v="58000"/>
    <s v="Teak wood purchase"/>
  </r>
  <r>
    <d v="2026-02-21T00:00:00"/>
    <x v="2"/>
    <n v="10050"/>
    <s v="Rajkumar lab payment"/>
  </r>
  <r>
    <d v="2026-02-21T00:00:00"/>
    <x v="4"/>
    <n v="8000"/>
    <s v="Fitter lab Payment"/>
  </r>
  <r>
    <d v="2026-02-21T00:00:00"/>
    <x v="0"/>
    <n v="36000"/>
    <s v="Brick 3000 nos "/>
  </r>
  <r>
    <d v="2026-02-21T00:00:00"/>
    <x v="9"/>
    <n v="2500"/>
    <s v="Structural Drawing Amount"/>
  </r>
  <r>
    <d v="2026-02-24T00:00:00"/>
    <x v="3"/>
    <n v="120"/>
    <s v="Shoe - Prasanth Bal amount"/>
  </r>
  <r>
    <d v="2026-02-24T00:00:00"/>
    <x v="6"/>
    <n v="200"/>
    <s v="Ganapathy Tea"/>
  </r>
  <r>
    <d v="2026-03-03T00:00:00"/>
    <x v="7"/>
    <n v="1040"/>
    <s v="Nails Blade Marker"/>
  </r>
  <r>
    <d v="2026-03-07T00:00:00"/>
    <x v="4"/>
    <n v="18650"/>
    <s v="Ramesh fitter lab"/>
  </r>
  <r>
    <d v="2026-03-07T00:00:00"/>
    <x v="0"/>
    <n v="50000"/>
    <s v="AK Steels Payment"/>
  </r>
  <r>
    <d v="2026-03-11T00:00:00"/>
    <x v="7"/>
    <n v="150"/>
    <s v="Steel cutter blade"/>
  </r>
  <r>
    <d v="2026-03-11T00:00:00"/>
    <x v="4"/>
    <n v="3000"/>
    <s v="Advance Ramesh"/>
  </r>
  <r>
    <d v="2026-03-14T00:00:00"/>
    <x v="2"/>
    <n v="3600"/>
    <s v="Mason Lab Payment"/>
  </r>
  <r>
    <d v="2026-03-14T00:00:00"/>
    <x v="4"/>
    <n v="18700"/>
    <s v="Ramesh fitter lab"/>
  </r>
  <r>
    <d v="2026-03-14T00:00:00"/>
    <x v="10"/>
    <n v="3000"/>
    <s v="Roof pipe work"/>
  </r>
  <r>
    <d v="2026-03-18T00:00:00"/>
    <x v="11"/>
    <n v="370"/>
    <s v="Diesel Machine Concrete"/>
  </r>
  <r>
    <d v="2026-03-18T00:00:00"/>
    <x v="1"/>
    <n v="80"/>
    <s v="Pooja items concrete"/>
  </r>
  <r>
    <d v="2026-03-21T00:00:00"/>
    <x v="12"/>
    <n v="12000"/>
    <s v="Roof concrete"/>
  </r>
  <r>
    <d v="2026-03-21T00:00:00"/>
    <x v="0"/>
    <n v="50000"/>
    <s v="AK Steels Payment"/>
  </r>
  <r>
    <d v="2026-03-24T00:00:00"/>
    <x v="10"/>
    <n v="1000"/>
    <s v="Roof Selvam Lab"/>
  </r>
  <r>
    <d v="2026-03-25T00:00:00"/>
    <x v="6"/>
    <n v="480"/>
    <s v="Labour tea expesne"/>
  </r>
  <r>
    <d v="2026-03-28T00:00:00"/>
    <x v="2"/>
    <n v="7950"/>
    <s v="Rajkumar lab payment"/>
  </r>
  <r>
    <d v="2026-03-28T00:00:00"/>
    <x v="4"/>
    <n v="10200"/>
    <s v="Ramesh fitter lab"/>
  </r>
  <r>
    <d v="2026-03-28T00:00:00"/>
    <x v="0"/>
    <n v="30000"/>
    <s v="AK Steels Payment"/>
  </r>
  <r>
    <d v="2026-03-28T00:00:00"/>
    <x v="3"/>
    <n v="4000"/>
    <s v="AMT Centring Sheet"/>
  </r>
  <r>
    <d v="2026-03-28T00:00:00"/>
    <x v="3"/>
    <n v="240"/>
    <s v="Shoe Rent SF"/>
  </r>
  <r>
    <d v="2026-04-01T00:00:00"/>
    <x v="5"/>
    <n v="250"/>
    <s v="Steel transport  Nithish"/>
  </r>
  <r>
    <d v="2026-04-01T00:00:00"/>
    <x v="6"/>
    <n v="405"/>
    <s v="Labour tea expesne"/>
  </r>
  <r>
    <d v="2026-04-03T00:00:00"/>
    <x v="13"/>
    <n v="2000"/>
    <s v="Car Diesel"/>
  </r>
  <r>
    <d v="2026-04-04T00:00:00"/>
    <x v="10"/>
    <n v="500"/>
    <s v="FF Point Marking"/>
  </r>
  <r>
    <d v="2026-04-04T00:00:00"/>
    <x v="2"/>
    <n v="36350"/>
    <s v="Rajkumar lab payment"/>
  </r>
  <r>
    <d v="2026-04-04T00:00:00"/>
    <x v="0"/>
    <n v="24000"/>
    <s v="Brick 2000 nos"/>
  </r>
  <r>
    <d v="2026-04-04T00:00:00"/>
    <x v="14"/>
    <n v="10000"/>
    <s v="Nilavu labour adv"/>
  </r>
  <r>
    <d v="2026-04-04T00:00:00"/>
    <x v="15"/>
    <n v="253000"/>
    <s v="Offc Salary"/>
  </r>
  <r>
    <d v="2026-04-05T00:00:00"/>
    <x v="4"/>
    <n v="2000"/>
    <s v="Kannan Adv"/>
  </r>
  <r>
    <d v="2026-04-06T00:00:00"/>
    <x v="5"/>
    <n v="850"/>
    <s v="Porter Palagai from MKP colony"/>
  </r>
  <r>
    <d v="2026-04-07T00:00:00"/>
    <x v="8"/>
    <n v="45000"/>
    <s v="Wood purchase for Windows"/>
  </r>
  <r>
    <d v="2026-04-08T00:00:00"/>
    <x v="4"/>
    <n v="5000"/>
    <s v="Fitter lab Advance"/>
  </r>
  <r>
    <d v="2026-04-09T00:00:00"/>
    <x v="1"/>
    <n v="430"/>
    <s v="Clamp nails for nilavu fixing - Nithish"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  <r>
    <m/>
    <x v="16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8C9A3-14B4-46FA-8D51-AAF7A0B6E9C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A3:B20" firstHeaderRow="1" firstDataRow="1" firstDataCol="1"/>
  <pivotFields count="4">
    <pivotField showAll="0"/>
    <pivotField axis="axisRow" showAll="0">
      <items count="28">
        <item x="0"/>
        <item x="7"/>
        <item m="1" x="19"/>
        <item m="1" x="18"/>
        <item x="5"/>
        <item m="1" x="26"/>
        <item x="1"/>
        <item h="1" x="16"/>
        <item x="2"/>
        <item x="4"/>
        <item x="6"/>
        <item x="11"/>
        <item x="12"/>
        <item x="3"/>
        <item m="1" x="17"/>
        <item m="1" x="20"/>
        <item m="1" x="25"/>
        <item x="13"/>
        <item x="15"/>
        <item m="1" x="21"/>
        <item m="1" x="22"/>
        <item m="1" x="23"/>
        <item m="1" x="24"/>
        <item x="8"/>
        <item x="9"/>
        <item x="10"/>
        <item x="14"/>
        <item t="default"/>
      </items>
    </pivotField>
    <pivotField dataField="1" showAll="0"/>
    <pivotField showAll="0"/>
  </pivotFields>
  <rowFields count="1">
    <field x="1"/>
  </rowFields>
  <rowItems count="17">
    <i>
      <x/>
    </i>
    <i>
      <x v="1"/>
    </i>
    <i>
      <x v="4"/>
    </i>
    <i>
      <x v="6"/>
    </i>
    <i>
      <x v="8"/>
    </i>
    <i>
      <x v="9"/>
    </i>
    <i>
      <x v="10"/>
    </i>
    <i>
      <x v="11"/>
    </i>
    <i>
      <x v="12"/>
    </i>
    <i>
      <x v="13"/>
    </i>
    <i>
      <x v="17"/>
    </i>
    <i>
      <x v="18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Total_Amount" fld="2" baseField="0" baseItem="0" numFmtId="8"/>
  </dataFields>
  <formats count="5">
    <format dxfId="5">
      <pivotArea collapsedLevelsAreSubtotals="1" fieldPosition="0">
        <references count="1">
          <reference field="1" count="0"/>
        </references>
      </pivotArea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outline="0" axis="axisValues" fieldPosition="0"/>
    </format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836791-65A6-47F8-8DC2-D2CC6C9873DB}" name="Table1" displayName="Table1" ref="A3:D7" totalsRowShown="0">
  <autoFilter ref="A3:D7" xr:uid="{8B836791-65A6-47F8-8DC2-D2CC6C9873DB}"/>
  <tableColumns count="4">
    <tableColumn id="1" xr3:uid="{82E49AF5-3376-4D78-965C-AE65D2CD931F}" name="DATE" dataDxfId="0"/>
    <tableColumn id="2" xr3:uid="{13BFE2C8-5578-4AA2-9EC5-1CBB50CE02B8}" name="TYPE OF EXPENSE"/>
    <tableColumn id="3" xr3:uid="{E6662EA1-6DC8-4558-9531-CFD33BE6E9DE}" name="AMOUNT"/>
    <tableColumn id="4" xr3:uid="{03A877C5-E326-4DFC-89C8-2358EE89F275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E933-C0E6-4334-87CB-622BD050B00B}">
  <dimension ref="A1:M4"/>
  <sheetViews>
    <sheetView workbookViewId="0">
      <selection activeCell="E4" sqref="E4"/>
    </sheetView>
  </sheetViews>
  <sheetFormatPr defaultRowHeight="14.5" x14ac:dyDescent="0.35"/>
  <cols>
    <col min="1" max="1" width="10.08984375" bestFit="1" customWidth="1"/>
    <col min="2" max="2" width="12.7265625" bestFit="1" customWidth="1"/>
    <col min="3" max="3" width="7.453125" bestFit="1" customWidth="1"/>
    <col min="4" max="4" width="17.81640625" bestFit="1" customWidth="1"/>
    <col min="5" max="5" width="15.7265625" bestFit="1" customWidth="1"/>
    <col min="12" max="12" width="20.7265625" bestFit="1" customWidth="1"/>
    <col min="13" max="13" width="12.7265625" bestFit="1" customWidth="1"/>
  </cols>
  <sheetData>
    <row r="1" spans="1:13" x14ac:dyDescent="0.35">
      <c r="A1" s="3" t="s">
        <v>0</v>
      </c>
      <c r="B1" s="6" t="s">
        <v>1</v>
      </c>
      <c r="C1" s="6" t="s">
        <v>37</v>
      </c>
      <c r="D1" s="2" t="s">
        <v>2</v>
      </c>
      <c r="E1" s="2" t="s">
        <v>3</v>
      </c>
      <c r="L1" t="s">
        <v>46</v>
      </c>
      <c r="M1" s="8">
        <f>SUM(B2:B100)</f>
        <v>1400000</v>
      </c>
    </row>
    <row r="2" spans="1:13" x14ac:dyDescent="0.35">
      <c r="A2" s="4">
        <v>46048</v>
      </c>
      <c r="B2" s="7">
        <v>200000</v>
      </c>
      <c r="C2" s="7" t="s">
        <v>44</v>
      </c>
      <c r="D2" s="1" t="s">
        <v>18</v>
      </c>
      <c r="E2" s="1" t="s">
        <v>45</v>
      </c>
    </row>
    <row r="3" spans="1:13" x14ac:dyDescent="0.35">
      <c r="A3" s="4">
        <v>46084</v>
      </c>
      <c r="B3" s="7">
        <v>200000</v>
      </c>
      <c r="C3" s="7" t="s">
        <v>44</v>
      </c>
      <c r="D3" s="1" t="s">
        <v>18</v>
      </c>
      <c r="E3" s="1" t="s">
        <v>45</v>
      </c>
    </row>
    <row r="4" spans="1:13" x14ac:dyDescent="0.35">
      <c r="A4" s="4">
        <v>46135</v>
      </c>
      <c r="B4" s="7">
        <v>1000000</v>
      </c>
      <c r="C4" s="1" t="s">
        <v>44</v>
      </c>
      <c r="D4" s="1" t="s">
        <v>18</v>
      </c>
      <c r="E4" s="1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C5E-A74E-4151-8738-1C2F14C945B6}">
  <dimension ref="A1:L304"/>
  <sheetViews>
    <sheetView tabSelected="1" topLeftCell="A69" workbookViewId="0">
      <selection activeCell="B87" sqref="B87"/>
    </sheetView>
  </sheetViews>
  <sheetFormatPr defaultRowHeight="14.5" x14ac:dyDescent="0.35"/>
  <cols>
    <col min="1" max="1" width="10.08984375" style="5" bestFit="1" customWidth="1"/>
    <col min="2" max="2" width="19.453125" bestFit="1" customWidth="1"/>
    <col min="3" max="3" width="11.7265625" style="8" bestFit="1" customWidth="1"/>
    <col min="4" max="4" width="59.90625" bestFit="1" customWidth="1"/>
    <col min="5" max="5" width="19.453125" bestFit="1" customWidth="1"/>
    <col min="6" max="6" width="17.81640625" hidden="1" customWidth="1"/>
    <col min="7" max="7" width="15" hidden="1" customWidth="1"/>
    <col min="8" max="8" width="13.6328125" customWidth="1"/>
    <col min="9" max="9" width="13.26953125" bestFit="1" customWidth="1"/>
    <col min="10" max="10" width="12.7265625" bestFit="1" customWidth="1"/>
    <col min="11" max="11" width="15" bestFit="1" customWidth="1"/>
    <col min="12" max="12" width="11.7265625" bestFit="1" customWidth="1"/>
  </cols>
  <sheetData>
    <row r="1" spans="1:12" x14ac:dyDescent="0.35">
      <c r="A1" s="3" t="s">
        <v>0</v>
      </c>
      <c r="B1" s="2" t="s">
        <v>4</v>
      </c>
      <c r="C1" s="6" t="s">
        <v>1</v>
      </c>
      <c r="D1" s="2" t="s">
        <v>3</v>
      </c>
      <c r="I1" s="10" t="s">
        <v>6</v>
      </c>
      <c r="J1" s="7">
        <f>'Payment Received'!M1</f>
        <v>1400000</v>
      </c>
    </row>
    <row r="2" spans="1:12" x14ac:dyDescent="0.35">
      <c r="A2" s="4">
        <v>46050</v>
      </c>
      <c r="B2" s="1" t="s">
        <v>21</v>
      </c>
      <c r="C2" s="7">
        <v>60000</v>
      </c>
      <c r="D2" s="1" t="s">
        <v>47</v>
      </c>
      <c r="I2" s="16" t="s">
        <v>7</v>
      </c>
      <c r="J2" s="7">
        <f>SUM(C2:C1000)</f>
        <v>1307317</v>
      </c>
    </row>
    <row r="3" spans="1:12" x14ac:dyDescent="0.35">
      <c r="A3" s="4">
        <v>46053</v>
      </c>
      <c r="B3" s="1" t="s">
        <v>5</v>
      </c>
      <c r="C3" s="7">
        <v>950</v>
      </c>
      <c r="D3" s="1" t="s">
        <v>48</v>
      </c>
      <c r="I3" s="11" t="s">
        <v>13</v>
      </c>
      <c r="J3" s="7">
        <f>J1-J2</f>
        <v>92683</v>
      </c>
    </row>
    <row r="4" spans="1:12" x14ac:dyDescent="0.35">
      <c r="A4" s="4">
        <v>46053</v>
      </c>
      <c r="B4" s="1" t="s">
        <v>22</v>
      </c>
      <c r="C4" s="7">
        <v>4500</v>
      </c>
      <c r="D4" s="1" t="s">
        <v>49</v>
      </c>
      <c r="K4" s="17"/>
      <c r="L4" s="8"/>
    </row>
    <row r="5" spans="1:12" x14ac:dyDescent="0.35">
      <c r="A5" s="4">
        <v>46055</v>
      </c>
      <c r="B5" s="1" t="s">
        <v>5</v>
      </c>
      <c r="C5" s="7">
        <v>5000</v>
      </c>
      <c r="D5" s="1" t="s">
        <v>50</v>
      </c>
    </row>
    <row r="6" spans="1:12" x14ac:dyDescent="0.35">
      <c r="A6" s="4">
        <v>46057</v>
      </c>
      <c r="B6" s="1" t="s">
        <v>31</v>
      </c>
      <c r="C6" s="7">
        <v>500</v>
      </c>
      <c r="D6" s="1" t="s">
        <v>53</v>
      </c>
    </row>
    <row r="7" spans="1:12" x14ac:dyDescent="0.35">
      <c r="A7" s="4">
        <v>46057</v>
      </c>
      <c r="B7" s="1" t="s">
        <v>22</v>
      </c>
      <c r="C7" s="7">
        <v>3000</v>
      </c>
      <c r="D7" s="1" t="s">
        <v>51</v>
      </c>
    </row>
    <row r="8" spans="1:12" x14ac:dyDescent="0.35">
      <c r="A8" s="4">
        <v>46057</v>
      </c>
      <c r="B8" s="1" t="s">
        <v>21</v>
      </c>
      <c r="C8" s="7">
        <v>1020</v>
      </c>
      <c r="D8" s="1" t="s">
        <v>52</v>
      </c>
    </row>
    <row r="9" spans="1:12" x14ac:dyDescent="0.35">
      <c r="A9" s="4">
        <v>46060</v>
      </c>
      <c r="B9" s="1" t="s">
        <v>5</v>
      </c>
      <c r="C9" s="7">
        <v>320</v>
      </c>
      <c r="D9" s="1" t="s">
        <v>54</v>
      </c>
    </row>
    <row r="10" spans="1:12" x14ac:dyDescent="0.35">
      <c r="A10" s="4">
        <v>46060</v>
      </c>
      <c r="B10" s="7" t="s">
        <v>22</v>
      </c>
      <c r="C10" s="7">
        <v>37200</v>
      </c>
      <c r="D10" s="1" t="s">
        <v>55</v>
      </c>
      <c r="H10" s="8"/>
    </row>
    <row r="11" spans="1:12" x14ac:dyDescent="0.35">
      <c r="A11" s="4">
        <v>46060</v>
      </c>
      <c r="B11" s="1" t="s">
        <v>24</v>
      </c>
      <c r="C11" s="7">
        <v>12400</v>
      </c>
      <c r="D11" s="1" t="s">
        <v>56</v>
      </c>
    </row>
    <row r="12" spans="1:12" x14ac:dyDescent="0.35">
      <c r="A12" s="4">
        <v>46060</v>
      </c>
      <c r="B12" s="1" t="s">
        <v>34</v>
      </c>
      <c r="C12" s="7">
        <v>2000</v>
      </c>
      <c r="D12" s="1" t="s">
        <v>57</v>
      </c>
    </row>
    <row r="13" spans="1:12" x14ac:dyDescent="0.35">
      <c r="A13" s="4">
        <v>46067</v>
      </c>
      <c r="B13" s="1" t="s">
        <v>22</v>
      </c>
      <c r="C13" s="7">
        <v>14600</v>
      </c>
      <c r="D13" s="1" t="s">
        <v>55</v>
      </c>
    </row>
    <row r="14" spans="1:12" x14ac:dyDescent="0.35">
      <c r="A14" s="4">
        <v>46069</v>
      </c>
      <c r="B14" s="1" t="s">
        <v>29</v>
      </c>
      <c r="C14" s="7">
        <v>1500</v>
      </c>
      <c r="D14" s="1" t="s">
        <v>58</v>
      </c>
    </row>
    <row r="15" spans="1:12" x14ac:dyDescent="0.35">
      <c r="A15" s="4">
        <v>46069</v>
      </c>
      <c r="B15" s="1" t="s">
        <v>20</v>
      </c>
      <c r="C15" s="7">
        <v>180</v>
      </c>
      <c r="D15" s="1" t="s">
        <v>59</v>
      </c>
    </row>
    <row r="16" spans="1:12" x14ac:dyDescent="0.35">
      <c r="A16" s="4">
        <v>46072</v>
      </c>
      <c r="B16" s="1" t="s">
        <v>60</v>
      </c>
      <c r="C16" s="7">
        <v>58000</v>
      </c>
      <c r="D16" s="1" t="s">
        <v>61</v>
      </c>
    </row>
    <row r="17" spans="1:9" x14ac:dyDescent="0.35">
      <c r="A17" s="4">
        <v>46074</v>
      </c>
      <c r="B17" s="1" t="s">
        <v>22</v>
      </c>
      <c r="C17" s="7">
        <v>10050</v>
      </c>
      <c r="D17" s="1" t="s">
        <v>62</v>
      </c>
      <c r="I17" s="8"/>
    </row>
    <row r="18" spans="1:9" x14ac:dyDescent="0.35">
      <c r="A18" s="4">
        <v>46074</v>
      </c>
      <c r="B18" s="1" t="s">
        <v>24</v>
      </c>
      <c r="C18" s="7">
        <v>8000</v>
      </c>
      <c r="D18" s="1" t="s">
        <v>56</v>
      </c>
    </row>
    <row r="19" spans="1:9" x14ac:dyDescent="0.35">
      <c r="A19" s="4">
        <v>46074</v>
      </c>
      <c r="B19" s="1" t="s">
        <v>21</v>
      </c>
      <c r="C19" s="7">
        <v>36000</v>
      </c>
      <c r="D19" s="1" t="s">
        <v>63</v>
      </c>
    </row>
    <row r="20" spans="1:9" x14ac:dyDescent="0.35">
      <c r="A20" s="4">
        <v>46074</v>
      </c>
      <c r="B20" s="1" t="s">
        <v>43</v>
      </c>
      <c r="C20" s="7">
        <v>2500</v>
      </c>
      <c r="D20" s="1" t="s">
        <v>64</v>
      </c>
    </row>
    <row r="21" spans="1:9" x14ac:dyDescent="0.35">
      <c r="A21" s="4">
        <v>46077</v>
      </c>
      <c r="B21" s="1" t="s">
        <v>31</v>
      </c>
      <c r="C21" s="7">
        <v>120</v>
      </c>
      <c r="D21" s="1" t="s">
        <v>65</v>
      </c>
    </row>
    <row r="22" spans="1:9" x14ac:dyDescent="0.35">
      <c r="A22" s="4">
        <v>46077</v>
      </c>
      <c r="B22" s="1" t="s">
        <v>29</v>
      </c>
      <c r="C22" s="7">
        <v>200</v>
      </c>
      <c r="D22" s="1" t="s">
        <v>66</v>
      </c>
    </row>
    <row r="23" spans="1:9" x14ac:dyDescent="0.35">
      <c r="A23" s="4">
        <v>46084</v>
      </c>
      <c r="B23" s="1" t="s">
        <v>20</v>
      </c>
      <c r="C23" s="7">
        <v>1040</v>
      </c>
      <c r="D23" s="1" t="s">
        <v>67</v>
      </c>
    </row>
    <row r="24" spans="1:9" x14ac:dyDescent="0.35">
      <c r="A24" s="4">
        <v>46088</v>
      </c>
      <c r="B24" s="1" t="s">
        <v>24</v>
      </c>
      <c r="C24" s="7">
        <v>18650</v>
      </c>
      <c r="D24" s="1" t="s">
        <v>68</v>
      </c>
    </row>
    <row r="25" spans="1:9" x14ac:dyDescent="0.35">
      <c r="A25" s="4">
        <v>46088</v>
      </c>
      <c r="B25" s="1" t="s">
        <v>21</v>
      </c>
      <c r="C25" s="7">
        <v>50000</v>
      </c>
      <c r="D25" s="1" t="s">
        <v>69</v>
      </c>
    </row>
    <row r="26" spans="1:9" x14ac:dyDescent="0.35">
      <c r="A26" s="4">
        <v>46092</v>
      </c>
      <c r="B26" s="1" t="s">
        <v>20</v>
      </c>
      <c r="C26" s="7">
        <v>150</v>
      </c>
      <c r="D26" s="1" t="s">
        <v>70</v>
      </c>
    </row>
    <row r="27" spans="1:9" x14ac:dyDescent="0.35">
      <c r="A27" s="4">
        <v>46092</v>
      </c>
      <c r="B27" s="1" t="s">
        <v>24</v>
      </c>
      <c r="C27" s="7">
        <v>3000</v>
      </c>
      <c r="D27" s="1" t="s">
        <v>71</v>
      </c>
    </row>
    <row r="28" spans="1:9" x14ac:dyDescent="0.35">
      <c r="A28" s="4">
        <v>46095</v>
      </c>
      <c r="B28" s="1" t="s">
        <v>22</v>
      </c>
      <c r="C28" s="7">
        <v>3600</v>
      </c>
      <c r="D28" s="1" t="s">
        <v>55</v>
      </c>
    </row>
    <row r="29" spans="1:9" x14ac:dyDescent="0.35">
      <c r="A29" s="4">
        <v>46095</v>
      </c>
      <c r="B29" s="1" t="s">
        <v>24</v>
      </c>
      <c r="C29" s="7">
        <v>18700</v>
      </c>
      <c r="D29" s="1" t="s">
        <v>68</v>
      </c>
    </row>
    <row r="30" spans="1:9" x14ac:dyDescent="0.35">
      <c r="A30" s="4">
        <v>46095</v>
      </c>
      <c r="B30" s="1" t="s">
        <v>72</v>
      </c>
      <c r="C30" s="7">
        <v>3000</v>
      </c>
      <c r="D30" s="1" t="s">
        <v>73</v>
      </c>
    </row>
    <row r="31" spans="1:9" x14ac:dyDescent="0.35">
      <c r="A31" s="4">
        <v>46099</v>
      </c>
      <c r="B31" s="1" t="s">
        <v>28</v>
      </c>
      <c r="C31" s="7">
        <v>370</v>
      </c>
      <c r="D31" s="1" t="s">
        <v>74</v>
      </c>
    </row>
    <row r="32" spans="1:9" x14ac:dyDescent="0.35">
      <c r="A32" s="4">
        <v>46099</v>
      </c>
      <c r="B32" s="1" t="s">
        <v>5</v>
      </c>
      <c r="C32" s="7">
        <v>80</v>
      </c>
      <c r="D32" s="1" t="s">
        <v>75</v>
      </c>
    </row>
    <row r="33" spans="1:4" x14ac:dyDescent="0.35">
      <c r="A33" s="4">
        <v>46102</v>
      </c>
      <c r="B33" s="1" t="s">
        <v>23</v>
      </c>
      <c r="C33" s="7">
        <v>12000</v>
      </c>
      <c r="D33" s="1" t="s">
        <v>76</v>
      </c>
    </row>
    <row r="34" spans="1:4" x14ac:dyDescent="0.35">
      <c r="A34" s="4">
        <v>46102</v>
      </c>
      <c r="B34" s="1" t="s">
        <v>21</v>
      </c>
      <c r="C34" s="7">
        <v>50000</v>
      </c>
      <c r="D34" s="1" t="s">
        <v>69</v>
      </c>
    </row>
    <row r="35" spans="1:4" x14ac:dyDescent="0.35">
      <c r="A35" s="4">
        <v>46105</v>
      </c>
      <c r="B35" s="1" t="s">
        <v>72</v>
      </c>
      <c r="C35" s="7">
        <v>1000</v>
      </c>
      <c r="D35" s="1" t="s">
        <v>77</v>
      </c>
    </row>
    <row r="36" spans="1:4" x14ac:dyDescent="0.35">
      <c r="A36" s="4">
        <v>46106</v>
      </c>
      <c r="B36" s="1" t="s">
        <v>29</v>
      </c>
      <c r="C36" s="7">
        <v>480</v>
      </c>
      <c r="D36" s="1" t="s">
        <v>58</v>
      </c>
    </row>
    <row r="37" spans="1:4" x14ac:dyDescent="0.35">
      <c r="A37" s="4">
        <v>46109</v>
      </c>
      <c r="B37" s="1" t="s">
        <v>22</v>
      </c>
      <c r="C37" s="7">
        <v>7950</v>
      </c>
      <c r="D37" s="1" t="s">
        <v>62</v>
      </c>
    </row>
    <row r="38" spans="1:4" x14ac:dyDescent="0.35">
      <c r="A38" s="4">
        <v>46109</v>
      </c>
      <c r="B38" s="1" t="s">
        <v>24</v>
      </c>
      <c r="C38" s="7">
        <v>10200</v>
      </c>
      <c r="D38" s="1" t="s">
        <v>68</v>
      </c>
    </row>
    <row r="39" spans="1:4" x14ac:dyDescent="0.35">
      <c r="A39" s="4">
        <v>46109</v>
      </c>
      <c r="B39" s="1" t="s">
        <v>21</v>
      </c>
      <c r="C39" s="7">
        <v>30000</v>
      </c>
      <c r="D39" s="1" t="s">
        <v>69</v>
      </c>
    </row>
    <row r="40" spans="1:4" x14ac:dyDescent="0.35">
      <c r="A40" s="4">
        <v>46109</v>
      </c>
      <c r="B40" s="1" t="s">
        <v>31</v>
      </c>
      <c r="C40" s="7">
        <v>4000</v>
      </c>
      <c r="D40" s="1" t="s">
        <v>78</v>
      </c>
    </row>
    <row r="41" spans="1:4" x14ac:dyDescent="0.35">
      <c r="A41" s="4">
        <v>46109</v>
      </c>
      <c r="B41" s="1" t="s">
        <v>31</v>
      </c>
      <c r="C41" s="7">
        <v>240</v>
      </c>
      <c r="D41" s="1" t="s">
        <v>79</v>
      </c>
    </row>
    <row r="42" spans="1:4" x14ac:dyDescent="0.35">
      <c r="A42" s="4">
        <v>46113</v>
      </c>
      <c r="B42" s="1" t="s">
        <v>34</v>
      </c>
      <c r="C42" s="7">
        <v>250</v>
      </c>
      <c r="D42" s="1" t="s">
        <v>80</v>
      </c>
    </row>
    <row r="43" spans="1:4" x14ac:dyDescent="0.35">
      <c r="A43" s="4">
        <v>46113</v>
      </c>
      <c r="B43" s="1" t="s">
        <v>29</v>
      </c>
      <c r="C43" s="7">
        <v>405</v>
      </c>
      <c r="D43" s="1" t="s">
        <v>58</v>
      </c>
    </row>
    <row r="44" spans="1:4" x14ac:dyDescent="0.35">
      <c r="A44" s="4">
        <v>46115</v>
      </c>
      <c r="B44" s="1" t="s">
        <v>38</v>
      </c>
      <c r="C44" s="7">
        <v>2000</v>
      </c>
      <c r="D44" s="1" t="s">
        <v>81</v>
      </c>
    </row>
    <row r="45" spans="1:4" x14ac:dyDescent="0.35">
      <c r="A45" s="4">
        <v>46116</v>
      </c>
      <c r="B45" s="1" t="s">
        <v>72</v>
      </c>
      <c r="C45" s="7">
        <v>500</v>
      </c>
      <c r="D45" s="1" t="s">
        <v>82</v>
      </c>
    </row>
    <row r="46" spans="1:4" x14ac:dyDescent="0.35">
      <c r="A46" s="4">
        <v>46116</v>
      </c>
      <c r="B46" s="1" t="s">
        <v>22</v>
      </c>
      <c r="C46" s="7">
        <v>36350</v>
      </c>
      <c r="D46" s="1" t="s">
        <v>62</v>
      </c>
    </row>
    <row r="47" spans="1:4" x14ac:dyDescent="0.35">
      <c r="A47" s="4">
        <v>46116</v>
      </c>
      <c r="B47" s="1" t="s">
        <v>21</v>
      </c>
      <c r="C47" s="7">
        <v>24000</v>
      </c>
      <c r="D47" s="1" t="s">
        <v>83</v>
      </c>
    </row>
    <row r="48" spans="1:4" x14ac:dyDescent="0.35">
      <c r="A48" s="4">
        <v>46116</v>
      </c>
      <c r="B48" s="1" t="s">
        <v>84</v>
      </c>
      <c r="C48" s="7">
        <v>10000</v>
      </c>
      <c r="D48" s="1" t="s">
        <v>85</v>
      </c>
    </row>
    <row r="49" spans="1:4" x14ac:dyDescent="0.35">
      <c r="A49" s="4">
        <v>46116</v>
      </c>
      <c r="B49" s="1" t="s">
        <v>39</v>
      </c>
      <c r="C49" s="7">
        <v>253000</v>
      </c>
      <c r="D49" s="1" t="s">
        <v>86</v>
      </c>
    </row>
    <row r="50" spans="1:4" x14ac:dyDescent="0.35">
      <c r="A50" s="4">
        <v>46117</v>
      </c>
      <c r="B50" s="1" t="s">
        <v>24</v>
      </c>
      <c r="C50" s="7">
        <v>2000</v>
      </c>
      <c r="D50" s="1" t="s">
        <v>87</v>
      </c>
    </row>
    <row r="51" spans="1:4" x14ac:dyDescent="0.35">
      <c r="A51" s="4">
        <v>46118</v>
      </c>
      <c r="B51" s="1" t="s">
        <v>34</v>
      </c>
      <c r="C51" s="7">
        <v>850</v>
      </c>
      <c r="D51" s="1" t="s">
        <v>88</v>
      </c>
    </row>
    <row r="52" spans="1:4" x14ac:dyDescent="0.35">
      <c r="A52" s="4">
        <v>46119</v>
      </c>
      <c r="B52" s="1" t="s">
        <v>60</v>
      </c>
      <c r="C52" s="7">
        <v>45000</v>
      </c>
      <c r="D52" s="1" t="s">
        <v>89</v>
      </c>
    </row>
    <row r="53" spans="1:4" x14ac:dyDescent="0.35">
      <c r="A53" s="4">
        <v>46120</v>
      </c>
      <c r="B53" s="1" t="s">
        <v>24</v>
      </c>
      <c r="C53" s="7">
        <v>5000</v>
      </c>
      <c r="D53" s="1" t="s">
        <v>90</v>
      </c>
    </row>
    <row r="54" spans="1:4" x14ac:dyDescent="0.35">
      <c r="A54" s="4">
        <v>46121</v>
      </c>
      <c r="B54" s="1" t="s">
        <v>5</v>
      </c>
      <c r="C54" s="7">
        <v>430</v>
      </c>
      <c r="D54" s="1" t="s">
        <v>91</v>
      </c>
    </row>
    <row r="55" spans="1:4" x14ac:dyDescent="0.35">
      <c r="A55" s="4">
        <v>46123</v>
      </c>
      <c r="B55" s="1" t="s">
        <v>22</v>
      </c>
      <c r="C55" s="7">
        <v>19350</v>
      </c>
      <c r="D55" s="1" t="s">
        <v>62</v>
      </c>
    </row>
    <row r="56" spans="1:4" x14ac:dyDescent="0.35">
      <c r="A56" s="4">
        <v>46123</v>
      </c>
      <c r="B56" s="1" t="s">
        <v>24</v>
      </c>
      <c r="C56" s="7">
        <v>17850</v>
      </c>
      <c r="D56" s="1" t="s">
        <v>92</v>
      </c>
    </row>
    <row r="57" spans="1:4" x14ac:dyDescent="0.35">
      <c r="A57" s="4">
        <v>46123</v>
      </c>
      <c r="B57" s="1" t="s">
        <v>21</v>
      </c>
      <c r="C57" s="7">
        <v>100000</v>
      </c>
      <c r="D57" s="1" t="s">
        <v>69</v>
      </c>
    </row>
    <row r="58" spans="1:4" x14ac:dyDescent="0.35">
      <c r="A58" s="4">
        <v>46125</v>
      </c>
      <c r="B58" s="1" t="s">
        <v>29</v>
      </c>
      <c r="C58" s="7">
        <v>855</v>
      </c>
      <c r="D58" s="1" t="s">
        <v>93</v>
      </c>
    </row>
    <row r="59" spans="1:4" x14ac:dyDescent="0.35">
      <c r="A59" s="4">
        <v>46125</v>
      </c>
      <c r="B59" s="1" t="s">
        <v>20</v>
      </c>
      <c r="C59" s="7">
        <v>1060</v>
      </c>
      <c r="D59" s="1" t="s">
        <v>94</v>
      </c>
    </row>
    <row r="60" spans="1:4" x14ac:dyDescent="0.35">
      <c r="A60" s="4">
        <v>46127</v>
      </c>
      <c r="B60" s="1" t="s">
        <v>22</v>
      </c>
      <c r="C60" s="7">
        <v>5000</v>
      </c>
      <c r="D60" s="1" t="s">
        <v>95</v>
      </c>
    </row>
    <row r="61" spans="1:4" x14ac:dyDescent="0.35">
      <c r="A61" s="4">
        <v>46127</v>
      </c>
      <c r="B61" s="1" t="s">
        <v>38</v>
      </c>
      <c r="C61" s="7">
        <v>2000</v>
      </c>
      <c r="D61" s="1" t="s">
        <v>81</v>
      </c>
    </row>
    <row r="62" spans="1:4" x14ac:dyDescent="0.35">
      <c r="A62" s="4">
        <v>46128</v>
      </c>
      <c r="B62" s="1" t="s">
        <v>31</v>
      </c>
      <c r="C62" s="7">
        <v>1510</v>
      </c>
      <c r="D62" s="1" t="s">
        <v>96</v>
      </c>
    </row>
    <row r="63" spans="1:4" x14ac:dyDescent="0.35">
      <c r="A63" s="4">
        <v>46129</v>
      </c>
      <c r="B63" s="1" t="s">
        <v>34</v>
      </c>
      <c r="C63" s="7">
        <v>1500</v>
      </c>
      <c r="D63" s="1" t="s">
        <v>98</v>
      </c>
    </row>
    <row r="64" spans="1:4" x14ac:dyDescent="0.35">
      <c r="A64" s="4">
        <v>46129</v>
      </c>
      <c r="B64" s="1" t="s">
        <v>28</v>
      </c>
      <c r="C64" s="7">
        <v>180</v>
      </c>
      <c r="D64" s="1" t="s">
        <v>97</v>
      </c>
    </row>
    <row r="65" spans="1:4" x14ac:dyDescent="0.35">
      <c r="A65" s="4">
        <v>46129</v>
      </c>
      <c r="B65" s="1" t="s">
        <v>29</v>
      </c>
      <c r="C65" s="7">
        <v>676</v>
      </c>
      <c r="D65" s="1" t="s">
        <v>93</v>
      </c>
    </row>
    <row r="66" spans="1:4" x14ac:dyDescent="0.35">
      <c r="A66" s="4">
        <v>46130</v>
      </c>
      <c r="B66" s="1" t="s">
        <v>22</v>
      </c>
      <c r="C66" s="7">
        <v>24300</v>
      </c>
      <c r="D66" s="1" t="s">
        <v>62</v>
      </c>
    </row>
    <row r="67" spans="1:4" x14ac:dyDescent="0.35">
      <c r="A67" s="4">
        <v>46130</v>
      </c>
      <c r="B67" s="1" t="s">
        <v>84</v>
      </c>
      <c r="C67" s="7">
        <v>15000</v>
      </c>
      <c r="D67" s="1" t="s">
        <v>99</v>
      </c>
    </row>
    <row r="68" spans="1:4" x14ac:dyDescent="0.35">
      <c r="A68" s="4">
        <v>46130</v>
      </c>
      <c r="B68" s="1" t="s">
        <v>23</v>
      </c>
      <c r="C68" s="7">
        <v>14500</v>
      </c>
      <c r="D68" s="1" t="s">
        <v>100</v>
      </c>
    </row>
    <row r="69" spans="1:4" x14ac:dyDescent="0.35">
      <c r="A69" s="4">
        <v>46130</v>
      </c>
      <c r="B69" s="1" t="s">
        <v>24</v>
      </c>
      <c r="C69" s="7">
        <v>13250</v>
      </c>
      <c r="D69" s="1" t="s">
        <v>56</v>
      </c>
    </row>
    <row r="70" spans="1:4" x14ac:dyDescent="0.35">
      <c r="A70" s="4">
        <v>46130</v>
      </c>
      <c r="B70" s="1" t="s">
        <v>24</v>
      </c>
      <c r="C70" s="7">
        <v>250</v>
      </c>
      <c r="D70" s="1" t="s">
        <v>101</v>
      </c>
    </row>
    <row r="71" spans="1:4" x14ac:dyDescent="0.35">
      <c r="A71" s="4">
        <v>46130</v>
      </c>
      <c r="B71" s="1" t="s">
        <v>24</v>
      </c>
      <c r="C71" s="7">
        <v>550</v>
      </c>
      <c r="D71" s="1" t="s">
        <v>101</v>
      </c>
    </row>
    <row r="72" spans="1:4" x14ac:dyDescent="0.35">
      <c r="A72" s="4">
        <v>46130</v>
      </c>
      <c r="B72" s="1" t="s">
        <v>72</v>
      </c>
      <c r="C72" s="7">
        <v>3000</v>
      </c>
      <c r="D72" s="1" t="s">
        <v>102</v>
      </c>
    </row>
    <row r="73" spans="1:4" x14ac:dyDescent="0.35">
      <c r="A73" s="4">
        <v>46130</v>
      </c>
      <c r="B73" s="1" t="s">
        <v>42</v>
      </c>
      <c r="C73" s="7">
        <v>14000</v>
      </c>
      <c r="D73" s="1" t="s">
        <v>103</v>
      </c>
    </row>
    <row r="74" spans="1:4" x14ac:dyDescent="0.35">
      <c r="A74" s="4">
        <v>46136</v>
      </c>
      <c r="B74" s="1" t="s">
        <v>29</v>
      </c>
      <c r="C74" s="7">
        <v>927</v>
      </c>
      <c r="D74" s="1" t="s">
        <v>104</v>
      </c>
    </row>
    <row r="75" spans="1:4" x14ac:dyDescent="0.35">
      <c r="A75" s="4">
        <v>46137</v>
      </c>
      <c r="B75" s="1" t="s">
        <v>22</v>
      </c>
      <c r="C75" s="7">
        <v>25800</v>
      </c>
      <c r="D75" s="1" t="s">
        <v>55</v>
      </c>
    </row>
    <row r="76" spans="1:4" x14ac:dyDescent="0.35">
      <c r="A76" s="4">
        <v>46137</v>
      </c>
      <c r="B76" s="1" t="s">
        <v>72</v>
      </c>
      <c r="C76" s="7">
        <v>1000</v>
      </c>
      <c r="D76" s="1" t="s">
        <v>105</v>
      </c>
    </row>
    <row r="77" spans="1:4" x14ac:dyDescent="0.35">
      <c r="A77" s="4">
        <v>46137</v>
      </c>
      <c r="B77" s="1" t="s">
        <v>21</v>
      </c>
      <c r="C77" s="7">
        <v>2300</v>
      </c>
      <c r="D77" s="1" t="s">
        <v>106</v>
      </c>
    </row>
    <row r="78" spans="1:4" x14ac:dyDescent="0.35">
      <c r="A78" s="4">
        <v>46144</v>
      </c>
      <c r="B78" s="1" t="s">
        <v>22</v>
      </c>
      <c r="C78" s="7">
        <v>13150</v>
      </c>
      <c r="D78" s="1" t="s">
        <v>55</v>
      </c>
    </row>
    <row r="79" spans="1:4" x14ac:dyDescent="0.35">
      <c r="A79" s="4">
        <v>46144</v>
      </c>
      <c r="B79" s="1" t="s">
        <v>21</v>
      </c>
      <c r="C79" s="7">
        <v>20000</v>
      </c>
      <c r="D79" s="1" t="s">
        <v>107</v>
      </c>
    </row>
    <row r="80" spans="1:4" x14ac:dyDescent="0.35">
      <c r="A80" s="4">
        <v>46144</v>
      </c>
      <c r="B80" s="1" t="s">
        <v>21</v>
      </c>
      <c r="C80" s="7">
        <v>24000</v>
      </c>
      <c r="D80" s="1" t="s">
        <v>108</v>
      </c>
    </row>
    <row r="81" spans="1:4" x14ac:dyDescent="0.35">
      <c r="A81" s="4">
        <v>46057</v>
      </c>
      <c r="B81" s="1" t="s">
        <v>84</v>
      </c>
      <c r="C81" s="7">
        <v>5000</v>
      </c>
      <c r="D81" s="1" t="s">
        <v>109</v>
      </c>
    </row>
    <row r="82" spans="1:4" x14ac:dyDescent="0.35">
      <c r="A82" s="4">
        <v>46149</v>
      </c>
      <c r="B82" s="1" t="s">
        <v>22</v>
      </c>
      <c r="C82" s="7">
        <v>2000</v>
      </c>
      <c r="D82" s="1" t="s">
        <v>110</v>
      </c>
    </row>
    <row r="83" spans="1:4" x14ac:dyDescent="0.35">
      <c r="A83" s="4">
        <v>46149</v>
      </c>
      <c r="B83" s="1" t="s">
        <v>29</v>
      </c>
      <c r="C83" s="7">
        <v>774</v>
      </c>
      <c r="D83" s="1" t="s">
        <v>93</v>
      </c>
    </row>
    <row r="84" spans="1:4" x14ac:dyDescent="0.35">
      <c r="A84" s="4">
        <v>46151</v>
      </c>
      <c r="B84" s="1" t="s">
        <v>22</v>
      </c>
      <c r="C84" s="7">
        <v>17250</v>
      </c>
      <c r="D84" s="1" t="s">
        <v>55</v>
      </c>
    </row>
    <row r="85" spans="1:4" x14ac:dyDescent="0.35">
      <c r="A85" s="4">
        <v>46151</v>
      </c>
      <c r="B85" s="1" t="s">
        <v>72</v>
      </c>
      <c r="C85" s="7">
        <v>3000</v>
      </c>
      <c r="D85" s="1" t="s">
        <v>111</v>
      </c>
    </row>
    <row r="86" spans="1:4" x14ac:dyDescent="0.35">
      <c r="A86" s="28">
        <v>46151</v>
      </c>
      <c r="B86" s="29" t="s">
        <v>84</v>
      </c>
      <c r="C86" s="30">
        <v>5000</v>
      </c>
      <c r="D86" s="29" t="s">
        <v>112</v>
      </c>
    </row>
    <row r="87" spans="1:4" x14ac:dyDescent="0.35">
      <c r="A87" s="4">
        <v>46151</v>
      </c>
      <c r="B87" s="1" t="s">
        <v>21</v>
      </c>
      <c r="C87" s="7">
        <v>100000</v>
      </c>
      <c r="D87" s="1" t="s">
        <v>113</v>
      </c>
    </row>
    <row r="88" spans="1:4" x14ac:dyDescent="0.35">
      <c r="A88" s="4"/>
      <c r="B88" s="1"/>
      <c r="C88" s="7"/>
      <c r="D88" s="1"/>
    </row>
    <row r="89" spans="1:4" x14ac:dyDescent="0.35">
      <c r="A89" s="4"/>
      <c r="B89" s="1"/>
      <c r="C89" s="7"/>
      <c r="D89" s="1"/>
    </row>
    <row r="90" spans="1:4" x14ac:dyDescent="0.35">
      <c r="A90" s="4"/>
      <c r="B90" s="1"/>
      <c r="C90" s="7"/>
      <c r="D90" s="1"/>
    </row>
    <row r="91" spans="1:4" x14ac:dyDescent="0.35">
      <c r="A91" s="4"/>
      <c r="B91" s="1"/>
      <c r="C91" s="7"/>
      <c r="D91" s="1"/>
    </row>
    <row r="92" spans="1:4" x14ac:dyDescent="0.35">
      <c r="A92" s="4"/>
      <c r="B92" s="1"/>
      <c r="C92" s="7"/>
      <c r="D92" s="1"/>
    </row>
    <row r="93" spans="1:4" x14ac:dyDescent="0.35">
      <c r="A93" s="4"/>
      <c r="B93" s="1"/>
      <c r="C93" s="7"/>
      <c r="D93" s="1"/>
    </row>
    <row r="94" spans="1:4" x14ac:dyDescent="0.35">
      <c r="A94" s="4"/>
      <c r="B94" s="1"/>
      <c r="C94" s="7"/>
      <c r="D94" s="1"/>
    </row>
    <row r="95" spans="1:4" x14ac:dyDescent="0.35">
      <c r="A95" s="4"/>
      <c r="B95" s="1"/>
      <c r="C95" s="7"/>
      <c r="D95" s="1"/>
    </row>
    <row r="96" spans="1:4" x14ac:dyDescent="0.35">
      <c r="A96" s="4"/>
      <c r="B96" s="1"/>
      <c r="C96" s="7"/>
      <c r="D96" s="1"/>
    </row>
    <row r="97" spans="1:8" x14ac:dyDescent="0.35">
      <c r="A97" s="4"/>
      <c r="B97" s="1"/>
      <c r="C97" s="7"/>
      <c r="D97" s="1"/>
    </row>
    <row r="98" spans="1:8" x14ac:dyDescent="0.35">
      <c r="A98" s="4"/>
      <c r="B98" s="1"/>
      <c r="C98" s="7"/>
      <c r="D98" s="1"/>
    </row>
    <row r="99" spans="1:8" x14ac:dyDescent="0.35">
      <c r="A99" s="4"/>
      <c r="B99" s="1"/>
      <c r="C99" s="7"/>
      <c r="D99" s="1"/>
    </row>
    <row r="100" spans="1:8" x14ac:dyDescent="0.35">
      <c r="A100" s="4"/>
      <c r="B100" s="1"/>
      <c r="C100" s="7"/>
      <c r="D100" s="1"/>
      <c r="H100" s="8"/>
    </row>
    <row r="101" spans="1:8" x14ac:dyDescent="0.35">
      <c r="A101" s="4"/>
      <c r="B101" s="1"/>
      <c r="C101" s="7"/>
      <c r="D101" s="1"/>
    </row>
    <row r="102" spans="1:8" x14ac:dyDescent="0.35">
      <c r="A102" s="4"/>
      <c r="B102" s="1"/>
      <c r="C102" s="7"/>
      <c r="D102" s="1"/>
    </row>
    <row r="103" spans="1:8" x14ac:dyDescent="0.35">
      <c r="A103" s="4"/>
      <c r="B103" s="1"/>
      <c r="C103" s="7"/>
      <c r="D103" s="1"/>
    </row>
    <row r="104" spans="1:8" x14ac:dyDescent="0.35">
      <c r="A104" s="4"/>
      <c r="B104" s="1"/>
      <c r="C104" s="7"/>
      <c r="D104" s="1"/>
    </row>
    <row r="105" spans="1:8" x14ac:dyDescent="0.35">
      <c r="A105" s="4"/>
      <c r="B105" s="1"/>
      <c r="C105" s="7"/>
      <c r="D105" s="1"/>
    </row>
    <row r="106" spans="1:8" x14ac:dyDescent="0.35">
      <c r="A106" s="4"/>
      <c r="B106" s="1"/>
      <c r="C106" s="7"/>
      <c r="D106" s="1"/>
    </row>
    <row r="107" spans="1:8" x14ac:dyDescent="0.35">
      <c r="A107" s="4"/>
      <c r="B107" s="1"/>
      <c r="C107" s="7"/>
      <c r="D107" s="1"/>
    </row>
    <row r="108" spans="1:8" x14ac:dyDescent="0.35">
      <c r="A108" s="4"/>
      <c r="B108" s="1"/>
      <c r="C108" s="7"/>
      <c r="D108" s="1"/>
    </row>
    <row r="109" spans="1:8" x14ac:dyDescent="0.35">
      <c r="A109" s="4"/>
      <c r="B109" s="1"/>
      <c r="C109" s="7"/>
      <c r="D109" s="1"/>
    </row>
    <row r="110" spans="1:8" x14ac:dyDescent="0.35">
      <c r="A110" s="4"/>
      <c r="B110" s="1"/>
      <c r="C110" s="7"/>
      <c r="D110" s="1"/>
    </row>
    <row r="111" spans="1:8" x14ac:dyDescent="0.35">
      <c r="A111" s="4"/>
      <c r="B111" s="1"/>
      <c r="C111" s="7"/>
      <c r="D111" s="1"/>
    </row>
    <row r="112" spans="1:8" x14ac:dyDescent="0.35">
      <c r="A112" s="4"/>
      <c r="B112" s="1"/>
      <c r="C112" s="7"/>
      <c r="D112" s="1"/>
    </row>
    <row r="113" spans="1:9" x14ac:dyDescent="0.35">
      <c r="A113" s="20"/>
      <c r="B113" s="21"/>
      <c r="C113" s="22"/>
      <c r="D113" s="21"/>
    </row>
    <row r="114" spans="1:9" x14ac:dyDescent="0.35">
      <c r="A114" s="4"/>
      <c r="B114" s="1"/>
      <c r="C114" s="7"/>
      <c r="D114" s="1"/>
    </row>
    <row r="115" spans="1:9" x14ac:dyDescent="0.35">
      <c r="A115" s="4"/>
      <c r="B115" s="1"/>
      <c r="C115" s="7"/>
      <c r="D115" s="1"/>
      <c r="I115" s="8"/>
    </row>
    <row r="116" spans="1:9" x14ac:dyDescent="0.35">
      <c r="A116" s="4"/>
      <c r="B116" s="1"/>
      <c r="C116" s="7"/>
      <c r="D116" s="1"/>
    </row>
    <row r="117" spans="1:9" x14ac:dyDescent="0.35">
      <c r="A117" s="4"/>
      <c r="B117" s="1"/>
      <c r="C117" s="7"/>
      <c r="D117" s="1"/>
    </row>
    <row r="118" spans="1:9" x14ac:dyDescent="0.35">
      <c r="A118" s="4"/>
      <c r="B118" s="1"/>
      <c r="C118" s="7"/>
      <c r="D118" s="1"/>
    </row>
    <row r="119" spans="1:9" x14ac:dyDescent="0.35">
      <c r="A119" s="4"/>
      <c r="B119" s="1"/>
      <c r="C119" s="7"/>
      <c r="D119" s="1"/>
      <c r="I119" s="8"/>
    </row>
    <row r="120" spans="1:9" x14ac:dyDescent="0.35">
      <c r="A120" s="4"/>
      <c r="B120" s="1"/>
      <c r="C120" s="7"/>
      <c r="D120" s="1"/>
    </row>
    <row r="121" spans="1:9" x14ac:dyDescent="0.35">
      <c r="A121" s="4"/>
      <c r="B121" s="1"/>
      <c r="C121" s="7"/>
      <c r="D121" s="1"/>
    </row>
    <row r="122" spans="1:9" x14ac:dyDescent="0.35">
      <c r="A122" s="4"/>
      <c r="B122" s="1"/>
      <c r="C122" s="7"/>
      <c r="D122" s="1"/>
    </row>
    <row r="123" spans="1:9" x14ac:dyDescent="0.35">
      <c r="A123" s="4"/>
      <c r="B123" s="1"/>
      <c r="C123" s="7"/>
      <c r="D123" s="1"/>
    </row>
    <row r="124" spans="1:9" x14ac:dyDescent="0.35">
      <c r="A124" s="4"/>
      <c r="B124" s="1"/>
      <c r="C124" s="7"/>
      <c r="D124" s="1"/>
    </row>
    <row r="125" spans="1:9" x14ac:dyDescent="0.35">
      <c r="A125" s="4"/>
      <c r="B125" s="1"/>
      <c r="C125" s="7"/>
      <c r="D125" s="1"/>
    </row>
    <row r="126" spans="1:9" x14ac:dyDescent="0.35">
      <c r="A126" s="4"/>
      <c r="B126" s="1"/>
      <c r="C126" s="7"/>
      <c r="D126" s="1"/>
    </row>
    <row r="127" spans="1:9" x14ac:dyDescent="0.35">
      <c r="A127" s="4"/>
      <c r="B127" s="1"/>
      <c r="C127" s="7"/>
      <c r="D127" s="1"/>
    </row>
    <row r="128" spans="1:9" x14ac:dyDescent="0.35">
      <c r="A128" s="23"/>
      <c r="B128" s="24"/>
      <c r="C128" s="25"/>
      <c r="D128" s="24"/>
    </row>
    <row r="129" spans="1:9" x14ac:dyDescent="0.35">
      <c r="A129" s="4"/>
      <c r="B129" s="1"/>
      <c r="C129" s="7"/>
      <c r="D129" s="1"/>
    </row>
    <row r="130" spans="1:9" x14ac:dyDescent="0.35">
      <c r="A130" s="4"/>
      <c r="B130" s="1"/>
      <c r="C130" s="7"/>
      <c r="D130" s="1"/>
    </row>
    <row r="131" spans="1:9" x14ac:dyDescent="0.35">
      <c r="A131" s="4"/>
      <c r="B131" s="1"/>
      <c r="C131" s="7"/>
      <c r="D131" s="1"/>
      <c r="F131" s="8"/>
    </row>
    <row r="132" spans="1:9" x14ac:dyDescent="0.35">
      <c r="A132" s="4"/>
      <c r="B132" s="1"/>
      <c r="C132" s="7"/>
      <c r="D132" s="1"/>
    </row>
    <row r="133" spans="1:9" x14ac:dyDescent="0.35">
      <c r="A133" s="4"/>
      <c r="B133" s="1"/>
      <c r="C133" s="7"/>
      <c r="D133" s="1"/>
      <c r="H133" s="8"/>
      <c r="I133" s="8"/>
    </row>
    <row r="134" spans="1:9" x14ac:dyDescent="0.35">
      <c r="A134" s="4"/>
      <c r="B134" s="1"/>
      <c r="C134" s="7"/>
      <c r="D134" s="1"/>
      <c r="H134" s="8"/>
    </row>
    <row r="135" spans="1:9" x14ac:dyDescent="0.35">
      <c r="A135" s="4"/>
      <c r="B135" s="1"/>
      <c r="C135" s="7"/>
      <c r="D135" s="1"/>
    </row>
    <row r="136" spans="1:9" x14ac:dyDescent="0.35">
      <c r="A136" s="4"/>
      <c r="B136" s="1"/>
      <c r="C136" s="7"/>
      <c r="D136" s="1"/>
      <c r="F136" s="8"/>
    </row>
    <row r="137" spans="1:9" x14ac:dyDescent="0.35">
      <c r="A137" s="4"/>
      <c r="B137" s="1"/>
      <c r="C137" s="7"/>
      <c r="D137" s="1"/>
      <c r="F137" s="8"/>
      <c r="H137" s="8"/>
    </row>
    <row r="138" spans="1:9" x14ac:dyDescent="0.35">
      <c r="A138" s="4"/>
      <c r="B138" s="1"/>
      <c r="C138" s="7"/>
      <c r="D138" s="1"/>
    </row>
    <row r="139" spans="1:9" x14ac:dyDescent="0.35">
      <c r="A139" s="20"/>
      <c r="B139" s="21"/>
      <c r="C139" s="22"/>
      <c r="D139" s="21"/>
    </row>
    <row r="140" spans="1:9" x14ac:dyDescent="0.35">
      <c r="A140" s="4"/>
      <c r="B140" s="1"/>
      <c r="C140" s="7"/>
      <c r="D140" s="1"/>
    </row>
    <row r="141" spans="1:9" x14ac:dyDescent="0.35">
      <c r="A141" s="4"/>
      <c r="B141" s="1"/>
      <c r="C141" s="7"/>
      <c r="D141" s="1"/>
      <c r="I141" s="8"/>
    </row>
    <row r="142" spans="1:9" x14ac:dyDescent="0.35">
      <c r="A142" s="4"/>
      <c r="B142" s="1"/>
      <c r="C142" s="7"/>
      <c r="D142" s="1"/>
    </row>
    <row r="143" spans="1:9" x14ac:dyDescent="0.35">
      <c r="A143" s="4"/>
      <c r="B143" s="1"/>
      <c r="C143" s="7"/>
      <c r="D143" s="1"/>
    </row>
    <row r="144" spans="1:9" x14ac:dyDescent="0.35">
      <c r="A144" s="4"/>
      <c r="B144" s="1"/>
      <c r="C144" s="7"/>
      <c r="D144" s="1"/>
    </row>
    <row r="145" spans="1:8" x14ac:dyDescent="0.35">
      <c r="A145" s="4"/>
      <c r="B145" s="1"/>
      <c r="C145" s="7"/>
      <c r="D145" s="1"/>
    </row>
    <row r="146" spans="1:8" x14ac:dyDescent="0.35">
      <c r="A146" s="4"/>
      <c r="B146" s="1"/>
      <c r="C146" s="7"/>
      <c r="D146" s="1"/>
    </row>
    <row r="147" spans="1:8" x14ac:dyDescent="0.35">
      <c r="A147" s="4"/>
      <c r="B147" s="1"/>
      <c r="C147" s="7"/>
      <c r="D147" s="1"/>
    </row>
    <row r="148" spans="1:8" x14ac:dyDescent="0.35">
      <c r="A148" s="4"/>
      <c r="B148" s="1"/>
      <c r="C148" s="7"/>
      <c r="D148" s="1"/>
    </row>
    <row r="149" spans="1:8" x14ac:dyDescent="0.35">
      <c r="A149" s="4"/>
      <c r="B149" s="1"/>
      <c r="C149" s="7"/>
      <c r="D149" s="1"/>
    </row>
    <row r="150" spans="1:8" x14ac:dyDescent="0.35">
      <c r="A150" s="4"/>
      <c r="B150" s="1"/>
      <c r="C150" s="7"/>
      <c r="D150" s="1"/>
    </row>
    <row r="151" spans="1:8" x14ac:dyDescent="0.35">
      <c r="A151" s="4"/>
      <c r="B151" s="1"/>
      <c r="C151" s="7"/>
      <c r="D151" s="1"/>
    </row>
    <row r="152" spans="1:8" x14ac:dyDescent="0.35">
      <c r="A152" s="4"/>
      <c r="B152" s="1"/>
      <c r="C152" s="7"/>
      <c r="D152" s="1"/>
    </row>
    <row r="153" spans="1:8" x14ac:dyDescent="0.35">
      <c r="A153" s="4"/>
      <c r="B153" s="1"/>
      <c r="C153" s="7"/>
      <c r="D153" s="1"/>
    </row>
    <row r="154" spans="1:8" x14ac:dyDescent="0.35">
      <c r="A154" s="4"/>
      <c r="B154" s="1"/>
      <c r="C154" s="7"/>
      <c r="D154" s="1"/>
    </row>
    <row r="155" spans="1:8" x14ac:dyDescent="0.35">
      <c r="A155" s="4"/>
      <c r="B155" s="1"/>
      <c r="C155" s="7"/>
      <c r="D155" s="1"/>
      <c r="H155" s="8"/>
    </row>
    <row r="156" spans="1:8" x14ac:dyDescent="0.35">
      <c r="A156" s="4"/>
      <c r="B156" s="1"/>
      <c r="C156" s="7"/>
      <c r="D156" s="1"/>
      <c r="H156" s="8"/>
    </row>
    <row r="157" spans="1:8" x14ac:dyDescent="0.35">
      <c r="A157" s="4"/>
      <c r="B157" s="1"/>
      <c r="C157" s="7"/>
      <c r="D157" s="1"/>
      <c r="H157" s="8"/>
    </row>
    <row r="158" spans="1:8" x14ac:dyDescent="0.35">
      <c r="A158" s="4"/>
      <c r="B158" s="1"/>
      <c r="C158" s="7"/>
      <c r="D158" s="1"/>
      <c r="H158" s="8"/>
    </row>
    <row r="159" spans="1:8" x14ac:dyDescent="0.35">
      <c r="A159" s="4"/>
      <c r="B159" s="1"/>
      <c r="C159" s="7"/>
      <c r="D159" s="1"/>
      <c r="H159" s="8"/>
    </row>
    <row r="160" spans="1:8" x14ac:dyDescent="0.35">
      <c r="A160" s="4"/>
      <c r="B160" s="1"/>
      <c r="C160" s="7"/>
      <c r="D160" s="1"/>
      <c r="H160" s="8"/>
    </row>
    <row r="161" spans="1:8" x14ac:dyDescent="0.35">
      <c r="A161" s="4"/>
      <c r="B161" s="1"/>
      <c r="C161" s="7"/>
      <c r="D161" s="1"/>
    </row>
    <row r="162" spans="1:8" x14ac:dyDescent="0.35">
      <c r="A162" s="4"/>
      <c r="B162" s="1"/>
      <c r="C162" s="7"/>
      <c r="D162" s="1"/>
    </row>
    <row r="163" spans="1:8" x14ac:dyDescent="0.35">
      <c r="A163" s="4"/>
      <c r="B163" s="1"/>
      <c r="C163" s="7"/>
      <c r="D163" s="1"/>
    </row>
    <row r="164" spans="1:8" x14ac:dyDescent="0.35">
      <c r="A164" s="4"/>
      <c r="B164" s="1"/>
      <c r="C164" s="7"/>
      <c r="D164" s="1"/>
    </row>
    <row r="165" spans="1:8" x14ac:dyDescent="0.35">
      <c r="A165" s="4"/>
      <c r="B165" s="1"/>
      <c r="C165" s="7"/>
      <c r="D165" s="1"/>
    </row>
    <row r="166" spans="1:8" x14ac:dyDescent="0.35">
      <c r="A166" s="4"/>
      <c r="B166" s="1"/>
      <c r="C166" s="7"/>
      <c r="D166" s="1"/>
    </row>
    <row r="167" spans="1:8" x14ac:dyDescent="0.35">
      <c r="A167" s="4"/>
      <c r="B167" s="1"/>
      <c r="C167" s="7"/>
      <c r="D167" s="1"/>
    </row>
    <row r="168" spans="1:8" x14ac:dyDescent="0.35">
      <c r="A168" s="4"/>
      <c r="B168" s="1"/>
      <c r="C168" s="7"/>
      <c r="D168" s="1"/>
    </row>
    <row r="169" spans="1:8" x14ac:dyDescent="0.35">
      <c r="A169" s="4"/>
      <c r="B169" s="1"/>
      <c r="C169" s="7"/>
      <c r="D169" s="1"/>
      <c r="E169" s="26" t="s">
        <v>41</v>
      </c>
    </row>
    <row r="170" spans="1:8" x14ac:dyDescent="0.35">
      <c r="A170" s="4"/>
      <c r="B170" s="1"/>
      <c r="C170" s="7"/>
      <c r="D170" s="1"/>
    </row>
    <row r="171" spans="1:8" x14ac:dyDescent="0.35">
      <c r="A171" s="4"/>
      <c r="B171" s="1"/>
      <c r="C171" s="7"/>
      <c r="D171" s="1"/>
    </row>
    <row r="172" spans="1:8" x14ac:dyDescent="0.35">
      <c r="A172" s="4"/>
      <c r="B172" s="1"/>
      <c r="C172" s="7"/>
      <c r="D172" s="1"/>
    </row>
    <row r="173" spans="1:8" x14ac:dyDescent="0.35">
      <c r="A173" s="20"/>
      <c r="B173" s="21"/>
      <c r="C173" s="22"/>
      <c r="D173" s="21"/>
      <c r="H173" s="8"/>
    </row>
    <row r="174" spans="1:8" x14ac:dyDescent="0.35">
      <c r="A174" s="4"/>
      <c r="B174" s="1"/>
      <c r="C174" s="7"/>
      <c r="D174" s="1"/>
    </row>
    <row r="175" spans="1:8" x14ac:dyDescent="0.35">
      <c r="A175" s="4"/>
      <c r="B175" s="1"/>
      <c r="C175" s="7"/>
      <c r="D175" s="1"/>
    </row>
    <row r="176" spans="1:8" x14ac:dyDescent="0.35">
      <c r="A176" s="4"/>
      <c r="B176" s="1"/>
      <c r="C176" s="7"/>
      <c r="D176" s="1"/>
    </row>
    <row r="177" spans="1:5" x14ac:dyDescent="0.35">
      <c r="A177" s="4"/>
      <c r="B177" s="1"/>
      <c r="C177" s="7"/>
      <c r="D177" s="1"/>
    </row>
    <row r="178" spans="1:5" x14ac:dyDescent="0.35">
      <c r="A178" s="4"/>
      <c r="B178" s="1"/>
      <c r="C178" s="7"/>
      <c r="D178" s="1"/>
    </row>
    <row r="179" spans="1:5" x14ac:dyDescent="0.35">
      <c r="A179" s="4"/>
      <c r="B179" s="1"/>
      <c r="C179" s="7"/>
      <c r="D179" s="1"/>
    </row>
    <row r="180" spans="1:5" x14ac:dyDescent="0.35">
      <c r="A180" s="4"/>
      <c r="B180" s="1"/>
      <c r="C180" s="7"/>
      <c r="D180" s="1"/>
    </row>
    <row r="181" spans="1:5" x14ac:dyDescent="0.35">
      <c r="A181" s="4"/>
      <c r="B181" s="1"/>
      <c r="C181" s="7"/>
      <c r="D181" s="1"/>
    </row>
    <row r="182" spans="1:5" x14ac:dyDescent="0.35">
      <c r="A182" s="4"/>
      <c r="B182" s="1"/>
      <c r="C182" s="7"/>
      <c r="D182" s="1"/>
    </row>
    <row r="183" spans="1:5" x14ac:dyDescent="0.35">
      <c r="A183" s="4"/>
      <c r="B183" s="1"/>
      <c r="C183" s="7"/>
      <c r="D183" s="1"/>
      <c r="E183" t="s">
        <v>41</v>
      </c>
    </row>
    <row r="184" spans="1:5" x14ac:dyDescent="0.35">
      <c r="A184" s="4"/>
      <c r="B184" s="1"/>
      <c r="C184" s="7"/>
      <c r="D184" s="1"/>
    </row>
    <row r="185" spans="1:5" x14ac:dyDescent="0.35">
      <c r="A185" s="4"/>
      <c r="B185" s="1"/>
      <c r="C185" s="7"/>
      <c r="D185" s="1"/>
    </row>
    <row r="186" spans="1:5" x14ac:dyDescent="0.35">
      <c r="A186" s="4"/>
      <c r="B186" s="1"/>
      <c r="C186" s="7"/>
      <c r="D186" s="1"/>
    </row>
    <row r="187" spans="1:5" x14ac:dyDescent="0.35">
      <c r="A187" s="4"/>
      <c r="B187" s="1"/>
      <c r="C187" s="7"/>
      <c r="D187" s="1"/>
    </row>
    <row r="188" spans="1:5" x14ac:dyDescent="0.35">
      <c r="A188" s="4"/>
      <c r="B188" s="1"/>
      <c r="C188" s="7"/>
      <c r="D188" s="1"/>
    </row>
    <row r="189" spans="1:5" x14ac:dyDescent="0.35">
      <c r="A189" s="4"/>
      <c r="B189" s="1"/>
      <c r="C189" s="7"/>
      <c r="D189" s="1"/>
    </row>
    <row r="190" spans="1:5" x14ac:dyDescent="0.35">
      <c r="A190" s="4"/>
      <c r="B190" s="1"/>
      <c r="C190" s="7"/>
      <c r="D190" s="1"/>
    </row>
    <row r="191" spans="1:5" x14ac:dyDescent="0.35">
      <c r="A191" s="4"/>
      <c r="B191" s="1"/>
      <c r="C191" s="7"/>
      <c r="D191" s="1"/>
    </row>
    <row r="192" spans="1:5" x14ac:dyDescent="0.35">
      <c r="A192" s="4"/>
      <c r="B192" s="1"/>
      <c r="C192" s="7"/>
      <c r="D192" s="1"/>
    </row>
    <row r="193" spans="1:4" x14ac:dyDescent="0.35">
      <c r="A193" s="4"/>
      <c r="B193" s="1"/>
      <c r="C193" s="7"/>
      <c r="D193" s="1"/>
    </row>
    <row r="194" spans="1:4" x14ac:dyDescent="0.35">
      <c r="A194" s="4"/>
      <c r="B194" s="1"/>
      <c r="C194" s="7"/>
      <c r="D194" s="1"/>
    </row>
    <row r="195" spans="1:4" x14ac:dyDescent="0.35">
      <c r="A195" s="4"/>
      <c r="B195" s="1"/>
      <c r="C195" s="7"/>
      <c r="D195" s="1"/>
    </row>
    <row r="196" spans="1:4" x14ac:dyDescent="0.35">
      <c r="A196" s="4"/>
      <c r="B196" s="1"/>
      <c r="C196" s="7"/>
      <c r="D196" s="1"/>
    </row>
    <row r="197" spans="1:4" x14ac:dyDescent="0.35">
      <c r="A197" s="4"/>
      <c r="B197" s="1"/>
      <c r="C197" s="7"/>
      <c r="D197" s="1"/>
    </row>
    <row r="198" spans="1:4" x14ac:dyDescent="0.35">
      <c r="A198" s="4"/>
      <c r="B198" s="1"/>
      <c r="C198" s="7"/>
      <c r="D198" s="1"/>
    </row>
    <row r="199" spans="1:4" x14ac:dyDescent="0.35">
      <c r="A199" s="4"/>
      <c r="B199" s="1"/>
      <c r="C199" s="7"/>
      <c r="D199" s="1"/>
    </row>
    <row r="200" spans="1:4" x14ac:dyDescent="0.35">
      <c r="A200" s="4"/>
      <c r="B200" s="1"/>
      <c r="C200" s="7"/>
      <c r="D200" s="1"/>
    </row>
    <row r="201" spans="1:4" x14ac:dyDescent="0.35">
      <c r="A201" s="4"/>
      <c r="B201" s="1"/>
      <c r="C201" s="7"/>
      <c r="D201" s="1"/>
    </row>
    <row r="202" spans="1:4" x14ac:dyDescent="0.35">
      <c r="A202" s="4"/>
      <c r="B202" s="1"/>
      <c r="C202" s="7"/>
      <c r="D202" s="1"/>
    </row>
    <row r="203" spans="1:4" x14ac:dyDescent="0.35">
      <c r="A203" s="4"/>
      <c r="B203" s="1"/>
      <c r="C203" s="7"/>
      <c r="D203" s="1"/>
    </row>
    <row r="204" spans="1:4" x14ac:dyDescent="0.35">
      <c r="A204" s="4"/>
      <c r="B204" s="1"/>
      <c r="C204" s="7"/>
      <c r="D204" s="1"/>
    </row>
    <row r="205" spans="1:4" x14ac:dyDescent="0.35">
      <c r="A205" s="4"/>
      <c r="B205" s="1"/>
      <c r="C205" s="7"/>
      <c r="D205" s="1"/>
    </row>
    <row r="206" spans="1:4" x14ac:dyDescent="0.35">
      <c r="A206" s="4"/>
      <c r="B206" s="1"/>
      <c r="C206" s="7"/>
      <c r="D206" s="1"/>
    </row>
    <row r="207" spans="1:4" x14ac:dyDescent="0.35">
      <c r="A207" s="4"/>
      <c r="B207" s="1"/>
      <c r="C207" s="7"/>
      <c r="D207" s="1"/>
    </row>
    <row r="208" spans="1:4" x14ac:dyDescent="0.35">
      <c r="A208" s="4"/>
      <c r="B208" s="1"/>
      <c r="C208" s="7"/>
      <c r="D208" s="1"/>
    </row>
    <row r="209" spans="1:8" x14ac:dyDescent="0.35">
      <c r="A209" s="4"/>
      <c r="B209" s="1"/>
      <c r="C209" s="7"/>
      <c r="D209" s="1"/>
    </row>
    <row r="210" spans="1:8" x14ac:dyDescent="0.35">
      <c r="A210" s="4"/>
      <c r="B210" s="1"/>
      <c r="C210" s="7"/>
      <c r="D210" s="1"/>
    </row>
    <row r="211" spans="1:8" x14ac:dyDescent="0.35">
      <c r="A211" s="4"/>
      <c r="B211" s="1"/>
      <c r="C211" s="7"/>
      <c r="D211" s="1"/>
    </row>
    <row r="212" spans="1:8" x14ac:dyDescent="0.35">
      <c r="A212" s="4"/>
      <c r="B212" s="1"/>
      <c r="C212" s="7"/>
      <c r="D212" s="1"/>
    </row>
    <row r="213" spans="1:8" x14ac:dyDescent="0.35">
      <c r="A213" s="4"/>
      <c r="B213" s="1"/>
      <c r="C213" s="7"/>
      <c r="D213" s="1"/>
    </row>
    <row r="214" spans="1:8" x14ac:dyDescent="0.35">
      <c r="A214" s="4"/>
      <c r="B214" s="1"/>
      <c r="C214" s="7"/>
      <c r="D214" s="1"/>
    </row>
    <row r="215" spans="1:8" x14ac:dyDescent="0.35">
      <c r="A215" s="4"/>
      <c r="B215" s="1"/>
      <c r="C215" s="7"/>
      <c r="D215" s="1"/>
      <c r="H215" s="8"/>
    </row>
    <row r="216" spans="1:8" x14ac:dyDescent="0.35">
      <c r="A216" s="4"/>
      <c r="B216" s="1"/>
      <c r="C216" s="7"/>
      <c r="D216" s="1"/>
    </row>
    <row r="217" spans="1:8" x14ac:dyDescent="0.35">
      <c r="A217" s="4"/>
      <c r="B217" s="1"/>
      <c r="C217" s="7"/>
      <c r="D217" s="1"/>
    </row>
    <row r="218" spans="1:8" x14ac:dyDescent="0.35">
      <c r="A218" s="4"/>
      <c r="B218" s="1"/>
      <c r="C218" s="7"/>
      <c r="D218" s="1"/>
    </row>
    <row r="219" spans="1:8" x14ac:dyDescent="0.35">
      <c r="A219" s="4"/>
      <c r="B219" s="1"/>
      <c r="C219" s="7"/>
      <c r="D219" s="1"/>
    </row>
    <row r="220" spans="1:8" x14ac:dyDescent="0.35">
      <c r="A220" s="4"/>
      <c r="B220" s="1"/>
      <c r="C220" s="7"/>
      <c r="D220" s="1"/>
    </row>
    <row r="221" spans="1:8" x14ac:dyDescent="0.35">
      <c r="A221" s="4"/>
      <c r="B221" s="1"/>
      <c r="C221" s="7"/>
      <c r="D221" s="1"/>
    </row>
    <row r="222" spans="1:8" x14ac:dyDescent="0.35">
      <c r="A222" s="4"/>
      <c r="B222" s="1"/>
      <c r="C222" s="7"/>
      <c r="D222" s="1"/>
    </row>
    <row r="223" spans="1:8" x14ac:dyDescent="0.35">
      <c r="A223" s="4"/>
      <c r="B223" s="1"/>
      <c r="C223" s="7"/>
      <c r="D223" s="1"/>
    </row>
    <row r="224" spans="1:8" x14ac:dyDescent="0.35">
      <c r="A224" s="4"/>
      <c r="B224" s="1"/>
      <c r="C224" s="7"/>
      <c r="D224" s="1"/>
    </row>
    <row r="225" spans="1:4" x14ac:dyDescent="0.35">
      <c r="A225" s="4"/>
      <c r="B225" s="1"/>
      <c r="C225" s="7"/>
      <c r="D225" s="1"/>
    </row>
    <row r="226" spans="1:4" x14ac:dyDescent="0.35">
      <c r="A226" s="20"/>
      <c r="B226" s="21"/>
      <c r="C226" s="22"/>
      <c r="D226" s="21"/>
    </row>
    <row r="227" spans="1:4" x14ac:dyDescent="0.35">
      <c r="A227" s="4"/>
      <c r="B227" s="1"/>
      <c r="C227" s="7"/>
      <c r="D227" s="1"/>
    </row>
    <row r="228" spans="1:4" x14ac:dyDescent="0.35">
      <c r="A228" s="4"/>
      <c r="B228" s="1"/>
      <c r="C228" s="7"/>
      <c r="D228" s="1"/>
    </row>
    <row r="229" spans="1:4" x14ac:dyDescent="0.35">
      <c r="A229" s="4"/>
      <c r="B229" s="1"/>
      <c r="C229" s="7"/>
      <c r="D229" s="1"/>
    </row>
    <row r="230" spans="1:4" x14ac:dyDescent="0.35">
      <c r="A230" s="4"/>
      <c r="B230" s="1"/>
      <c r="C230" s="7"/>
      <c r="D230" s="1"/>
    </row>
    <row r="231" spans="1:4" x14ac:dyDescent="0.35">
      <c r="A231" s="4"/>
      <c r="B231" s="1"/>
      <c r="C231" s="7"/>
      <c r="D231" s="1"/>
    </row>
    <row r="232" spans="1:4" x14ac:dyDescent="0.35">
      <c r="A232" s="4"/>
      <c r="B232" s="1"/>
      <c r="C232" s="7"/>
      <c r="D232" s="1"/>
    </row>
    <row r="233" spans="1:4" x14ac:dyDescent="0.35">
      <c r="A233" s="4"/>
      <c r="B233" s="1"/>
      <c r="C233" s="7"/>
      <c r="D233" s="1"/>
    </row>
    <row r="234" spans="1:4" x14ac:dyDescent="0.35">
      <c r="A234" s="4"/>
      <c r="B234" s="1"/>
      <c r="C234" s="7"/>
      <c r="D234" s="1"/>
    </row>
    <row r="235" spans="1:4" x14ac:dyDescent="0.35">
      <c r="A235" s="4"/>
      <c r="B235" s="1"/>
      <c r="C235" s="7"/>
      <c r="D235" s="1"/>
    </row>
    <row r="236" spans="1:4" x14ac:dyDescent="0.35">
      <c r="A236" s="4"/>
      <c r="B236" s="1"/>
      <c r="C236" s="7"/>
      <c r="D236" s="1"/>
    </row>
    <row r="237" spans="1:4" x14ac:dyDescent="0.35">
      <c r="A237" s="4"/>
      <c r="B237" s="1"/>
      <c r="C237" s="7"/>
      <c r="D237" s="1"/>
    </row>
    <row r="238" spans="1:4" x14ac:dyDescent="0.35">
      <c r="A238" s="4"/>
      <c r="B238" s="1"/>
      <c r="C238" s="7"/>
      <c r="D238" s="1"/>
    </row>
    <row r="239" spans="1:4" x14ac:dyDescent="0.35">
      <c r="A239" s="4"/>
      <c r="B239" s="1"/>
      <c r="C239" s="7"/>
      <c r="D239" s="1"/>
    </row>
    <row r="240" spans="1:4" x14ac:dyDescent="0.35">
      <c r="A240" s="4"/>
      <c r="B240" s="1"/>
      <c r="C240" s="7"/>
      <c r="D240" s="1"/>
    </row>
    <row r="241" spans="1:4" x14ac:dyDescent="0.35">
      <c r="A241" s="4"/>
      <c r="B241" s="1"/>
      <c r="C241" s="7"/>
      <c r="D241" s="1"/>
    </row>
    <row r="242" spans="1:4" x14ac:dyDescent="0.35">
      <c r="A242" s="4"/>
      <c r="B242" s="1"/>
      <c r="C242" s="7"/>
      <c r="D242" s="1"/>
    </row>
    <row r="243" spans="1:4" x14ac:dyDescent="0.35">
      <c r="A243" s="4"/>
      <c r="B243" s="1"/>
      <c r="C243" s="7"/>
      <c r="D243" s="1"/>
    </row>
    <row r="244" spans="1:4" x14ac:dyDescent="0.35">
      <c r="A244" s="4"/>
      <c r="B244" s="1"/>
      <c r="C244" s="7"/>
      <c r="D244" s="1"/>
    </row>
    <row r="245" spans="1:4" x14ac:dyDescent="0.35">
      <c r="A245" s="4"/>
      <c r="B245" s="1"/>
      <c r="C245" s="7"/>
      <c r="D245" s="1"/>
    </row>
    <row r="304" spans="6:6" x14ac:dyDescent="0.35">
      <c r="F304" s="8"/>
    </row>
  </sheetData>
  <autoFilter ref="A1:D42" xr:uid="{E716AC5E-A74E-4151-8738-1C2F14C945B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1A9EA4-211D-4619-B47C-CA890DA4CB44}">
          <x14:formula1>
            <xm:f>DataSource!$A$1:$A$31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F4E-AA4E-4ECE-A323-49517B1EF568}">
  <dimension ref="A1:A27"/>
  <sheetViews>
    <sheetView topLeftCell="A6" workbookViewId="0">
      <selection activeCell="B10" sqref="B10"/>
    </sheetView>
  </sheetViews>
  <sheetFormatPr defaultRowHeight="14.5" x14ac:dyDescent="0.35"/>
  <cols>
    <col min="1" max="1" width="19.453125" bestFit="1" customWidth="1"/>
  </cols>
  <sheetData>
    <row r="1" spans="1:1" x14ac:dyDescent="0.35">
      <c r="A1" s="1" t="s">
        <v>19</v>
      </c>
    </row>
    <row r="2" spans="1:1" x14ac:dyDescent="0.35">
      <c r="A2" s="1" t="s">
        <v>20</v>
      </c>
    </row>
    <row r="3" spans="1:1" x14ac:dyDescent="0.35">
      <c r="A3" s="1" t="s">
        <v>21</v>
      </c>
    </row>
    <row r="4" spans="1:1" x14ac:dyDescent="0.35">
      <c r="A4" s="1" t="s">
        <v>22</v>
      </c>
    </row>
    <row r="5" spans="1:1" x14ac:dyDescent="0.35">
      <c r="A5" s="1" t="s">
        <v>23</v>
      </c>
    </row>
    <row r="6" spans="1:1" x14ac:dyDescent="0.35">
      <c r="A6" s="1" t="s">
        <v>24</v>
      </c>
    </row>
    <row r="7" spans="1:1" x14ac:dyDescent="0.35">
      <c r="A7" s="1" t="s">
        <v>72</v>
      </c>
    </row>
    <row r="8" spans="1:1" x14ac:dyDescent="0.35">
      <c r="A8" s="1" t="s">
        <v>25</v>
      </c>
    </row>
    <row r="9" spans="1:1" x14ac:dyDescent="0.35">
      <c r="A9" s="1" t="s">
        <v>26</v>
      </c>
    </row>
    <row r="10" spans="1:1" x14ac:dyDescent="0.35">
      <c r="A10" s="1" t="s">
        <v>84</v>
      </c>
    </row>
    <row r="11" spans="1:1" x14ac:dyDescent="0.35">
      <c r="A11" s="1" t="s">
        <v>27</v>
      </c>
    </row>
    <row r="12" spans="1:1" x14ac:dyDescent="0.35">
      <c r="A12" s="1" t="s">
        <v>28</v>
      </c>
    </row>
    <row r="13" spans="1:1" x14ac:dyDescent="0.35">
      <c r="A13" s="1" t="s">
        <v>29</v>
      </c>
    </row>
    <row r="14" spans="1:1" x14ac:dyDescent="0.35">
      <c r="A14" s="1" t="s">
        <v>5</v>
      </c>
    </row>
    <row r="15" spans="1:1" x14ac:dyDescent="0.35">
      <c r="A15" s="1" t="s">
        <v>30</v>
      </c>
    </row>
    <row r="16" spans="1:1" x14ac:dyDescent="0.35">
      <c r="A16" s="1" t="s">
        <v>31</v>
      </c>
    </row>
    <row r="17" spans="1:1" x14ac:dyDescent="0.35">
      <c r="A17" s="1" t="s">
        <v>32</v>
      </c>
    </row>
    <row r="18" spans="1:1" x14ac:dyDescent="0.35">
      <c r="A18" s="1" t="s">
        <v>33</v>
      </c>
    </row>
    <row r="19" spans="1:1" x14ac:dyDescent="0.35">
      <c r="A19" s="1" t="s">
        <v>34</v>
      </c>
    </row>
    <row r="20" spans="1:1" x14ac:dyDescent="0.35">
      <c r="A20" s="1" t="s">
        <v>35</v>
      </c>
    </row>
    <row r="21" spans="1:1" x14ac:dyDescent="0.35">
      <c r="A21" s="1" t="s">
        <v>36</v>
      </c>
    </row>
    <row r="22" spans="1:1" x14ac:dyDescent="0.35">
      <c r="A22" s="1" t="s">
        <v>38</v>
      </c>
    </row>
    <row r="23" spans="1:1" x14ac:dyDescent="0.35">
      <c r="A23" s="1" t="s">
        <v>39</v>
      </c>
    </row>
    <row r="24" spans="1:1" x14ac:dyDescent="0.35">
      <c r="A24" s="1" t="s">
        <v>40</v>
      </c>
    </row>
    <row r="25" spans="1:1" x14ac:dyDescent="0.35">
      <c r="A25" s="1" t="s">
        <v>42</v>
      </c>
    </row>
    <row r="26" spans="1:1" x14ac:dyDescent="0.35">
      <c r="A26" s="1" t="s">
        <v>43</v>
      </c>
    </row>
    <row r="27" spans="1:1" x14ac:dyDescent="0.35">
      <c r="A27" s="27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5D36-3AAD-4012-B629-BC62E5C1A2B7}">
  <dimension ref="A3:B20"/>
  <sheetViews>
    <sheetView workbookViewId="0">
      <selection activeCell="B15" sqref="B15"/>
    </sheetView>
  </sheetViews>
  <sheetFormatPr defaultRowHeight="14.5" x14ac:dyDescent="0.35"/>
  <cols>
    <col min="1" max="1" width="19.453125" bestFit="1" customWidth="1"/>
    <col min="2" max="2" width="13" bestFit="1" customWidth="1"/>
  </cols>
  <sheetData>
    <row r="3" spans="1:2" x14ac:dyDescent="0.35">
      <c r="A3" s="15" t="s">
        <v>17</v>
      </c>
      <c r="B3" s="1" t="s">
        <v>16</v>
      </c>
    </row>
    <row r="4" spans="1:2" x14ac:dyDescent="0.35">
      <c r="A4" s="14" t="s">
        <v>21</v>
      </c>
      <c r="B4" s="18">
        <v>251020</v>
      </c>
    </row>
    <row r="5" spans="1:2" x14ac:dyDescent="0.35">
      <c r="A5" s="14" t="s">
        <v>20</v>
      </c>
      <c r="B5" s="18">
        <v>1370</v>
      </c>
    </row>
    <row r="6" spans="1:2" x14ac:dyDescent="0.35">
      <c r="A6" s="14" t="s">
        <v>34</v>
      </c>
      <c r="B6" s="18">
        <v>3100</v>
      </c>
    </row>
    <row r="7" spans="1:2" x14ac:dyDescent="0.35">
      <c r="A7" s="14" t="s">
        <v>5</v>
      </c>
      <c r="B7" s="18">
        <v>6780</v>
      </c>
    </row>
    <row r="8" spans="1:2" x14ac:dyDescent="0.35">
      <c r="A8" s="14" t="s">
        <v>22</v>
      </c>
      <c r="B8" s="18">
        <v>117250</v>
      </c>
    </row>
    <row r="9" spans="1:2" x14ac:dyDescent="0.35">
      <c r="A9" s="14" t="s">
        <v>24</v>
      </c>
      <c r="B9" s="18">
        <v>77950</v>
      </c>
    </row>
    <row r="10" spans="1:2" x14ac:dyDescent="0.35">
      <c r="A10" s="14" t="s">
        <v>29</v>
      </c>
      <c r="B10" s="18">
        <v>2585</v>
      </c>
    </row>
    <row r="11" spans="1:2" x14ac:dyDescent="0.35">
      <c r="A11" s="14" t="s">
        <v>28</v>
      </c>
      <c r="B11" s="18">
        <v>370</v>
      </c>
    </row>
    <row r="12" spans="1:2" x14ac:dyDescent="0.35">
      <c r="A12" s="14" t="s">
        <v>23</v>
      </c>
      <c r="B12" s="18">
        <v>12000</v>
      </c>
    </row>
    <row r="13" spans="1:2" x14ac:dyDescent="0.35">
      <c r="A13" s="14" t="s">
        <v>31</v>
      </c>
      <c r="B13" s="18">
        <v>4860</v>
      </c>
    </row>
    <row r="14" spans="1:2" x14ac:dyDescent="0.35">
      <c r="A14" s="14" t="s">
        <v>38</v>
      </c>
      <c r="B14" s="18">
        <v>2000</v>
      </c>
    </row>
    <row r="15" spans="1:2" x14ac:dyDescent="0.35">
      <c r="A15" s="14" t="s">
        <v>39</v>
      </c>
      <c r="B15" s="18">
        <v>253000</v>
      </c>
    </row>
    <row r="16" spans="1:2" x14ac:dyDescent="0.35">
      <c r="A16" s="14" t="s">
        <v>60</v>
      </c>
      <c r="B16" s="18">
        <v>103000</v>
      </c>
    </row>
    <row r="17" spans="1:2" x14ac:dyDescent="0.35">
      <c r="A17" s="14" t="s">
        <v>43</v>
      </c>
      <c r="B17" s="18">
        <v>2500</v>
      </c>
    </row>
    <row r="18" spans="1:2" x14ac:dyDescent="0.35">
      <c r="A18" s="14" t="s">
        <v>72</v>
      </c>
      <c r="B18" s="18">
        <v>4500</v>
      </c>
    </row>
    <row r="19" spans="1:2" x14ac:dyDescent="0.35">
      <c r="A19" s="14" t="s">
        <v>84</v>
      </c>
      <c r="B19" s="18">
        <v>10000</v>
      </c>
    </row>
    <row r="20" spans="1:2" x14ac:dyDescent="0.35">
      <c r="A20" s="9" t="s">
        <v>12</v>
      </c>
      <c r="B20" s="19">
        <v>852285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101D-E46C-4C9D-BBC1-7A183001E142}">
  <dimension ref="A1:D7"/>
  <sheetViews>
    <sheetView workbookViewId="0">
      <selection activeCell="A3" sqref="A3:D7"/>
    </sheetView>
  </sheetViews>
  <sheetFormatPr defaultRowHeight="14.5" x14ac:dyDescent="0.35"/>
  <cols>
    <col min="1" max="1" width="10.08984375" bestFit="1" customWidth="1"/>
    <col min="2" max="2" width="17.81640625" bestFit="1" customWidth="1"/>
    <col min="3" max="3" width="10.90625" bestFit="1" customWidth="1"/>
    <col min="4" max="4" width="42.08984375" bestFit="1" customWidth="1"/>
  </cols>
  <sheetData>
    <row r="1" spans="1:4" x14ac:dyDescent="0.35">
      <c r="A1" s="13" t="s">
        <v>15</v>
      </c>
    </row>
    <row r="3" spans="1:4" x14ac:dyDescent="0.35">
      <c r="A3" t="s">
        <v>0</v>
      </c>
      <c r="B3" t="s">
        <v>4</v>
      </c>
      <c r="C3" t="s">
        <v>1</v>
      </c>
      <c r="D3" t="s">
        <v>3</v>
      </c>
    </row>
    <row r="4" spans="1:4" x14ac:dyDescent="0.35">
      <c r="A4" s="12">
        <v>45793</v>
      </c>
      <c r="B4" t="s">
        <v>9</v>
      </c>
      <c r="C4">
        <v>23900</v>
      </c>
      <c r="D4" t="s">
        <v>14</v>
      </c>
    </row>
    <row r="5" spans="1:4" x14ac:dyDescent="0.35">
      <c r="A5" s="12">
        <v>45783</v>
      </c>
      <c r="B5" t="s">
        <v>9</v>
      </c>
      <c r="C5">
        <v>5000</v>
      </c>
      <c r="D5" t="s">
        <v>11</v>
      </c>
    </row>
    <row r="6" spans="1:4" x14ac:dyDescent="0.35">
      <c r="A6" s="12">
        <v>45781</v>
      </c>
      <c r="B6" t="s">
        <v>9</v>
      </c>
      <c r="C6">
        <v>75000</v>
      </c>
      <c r="D6" t="s">
        <v>10</v>
      </c>
    </row>
    <row r="7" spans="1:4" x14ac:dyDescent="0.35">
      <c r="A7" s="12">
        <v>45777</v>
      </c>
      <c r="B7" t="s">
        <v>9</v>
      </c>
      <c r="C7">
        <v>5000</v>
      </c>
      <c r="D7" t="s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Payment Received</vt:lpstr>
      <vt:lpstr>Expenses</vt:lpstr>
      <vt:lpstr>DataSource</vt:lpstr>
      <vt:lpstr>Overview</vt:lpstr>
      <vt:lpstr>Detail1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TAMIL</dc:creator>
  <cp:lastModifiedBy>Tamilselvan Jayabalan</cp:lastModifiedBy>
  <dcterms:created xsi:type="dcterms:W3CDTF">2015-06-05T18:17:20Z</dcterms:created>
  <dcterms:modified xsi:type="dcterms:W3CDTF">2026-05-09T12:22:21Z</dcterms:modified>
</cp:coreProperties>
</file>