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Happy Town - Sulur/Accounts/"/>
    </mc:Choice>
  </mc:AlternateContent>
  <xr:revisionPtr revIDLastSave="497" documentId="13_ncr:1_{DE40AB4E-5E7E-4BE7-A52F-372CFBFF2560}" xr6:coauthVersionLast="47" xr6:coauthVersionMax="47" xr10:uidLastSave="{350F849B-F7A3-4E2C-83DD-49B6B11C3CFB}"/>
  <bookViews>
    <workbookView xWindow="-110" yWindow="-110" windowWidth="19420" windowHeight="11500" activeTab="1" xr2:uid="{00000000-000D-0000-FFFF-FFFF00000000}"/>
  </bookViews>
  <sheets>
    <sheet name="Payment Received" sheetId="1" r:id="rId1"/>
    <sheet name="Expenses" sheetId="2" r:id="rId2"/>
    <sheet name="DataSource" sheetId="19" r:id="rId3"/>
    <sheet name="Overview" sheetId="16" r:id="rId4"/>
    <sheet name="Detail1" sheetId="7" state="hidden" r:id="rId5"/>
  </sheets>
  <definedNames>
    <definedName name="_xlnm._FilterDatabase" localSheetId="1" hidden="1">Expenses!$A$1:$D$81</definedName>
    <definedName name="_xlnm._FilterDatabase" localSheetId="0" hidden="1">'Payment Received'!$A$1:$E$22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2"/>
  <c r="J2" i="1"/>
  <c r="J1" i="1"/>
  <c r="J7" i="1" s="1"/>
  <c r="J8" i="1" s="1"/>
  <c r="J1" i="2" l="1"/>
  <c r="J3" i="2" s="1"/>
</calcChain>
</file>

<file path=xl/sharedStrings.xml><?xml version="1.0" encoding="utf-8"?>
<sst xmlns="http://schemas.openxmlformats.org/spreadsheetml/2006/main" count="1003" uniqueCount="341">
  <si>
    <t>DATE</t>
  </si>
  <si>
    <t>AMOUNT</t>
  </si>
  <si>
    <t>MODE OF PAYMENT</t>
  </si>
  <si>
    <t>DESCRIPTION</t>
  </si>
  <si>
    <t>ACC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</si>
  <si>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</si>
  <si>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</si>
  <si>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</si>
  <si>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</si>
  <si>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</si>
  <si>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</si>
  <si>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JCB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</si>
  <si>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</si>
  <si>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</si>
  <si>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</si>
  <si>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</si>
  <si>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</si>
  <si>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</si>
  <si>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 Amount Received:</t>
  </si>
  <si>
    <t>Brick Unloading</t>
  </si>
  <si>
    <t>Total_Amount</t>
  </si>
  <si>
    <t>Cash From TSK</t>
  </si>
  <si>
    <t>PAID BY</t>
  </si>
  <si>
    <t>TSK</t>
  </si>
  <si>
    <t>TSK Amount:</t>
  </si>
  <si>
    <t>LN Promoters:</t>
  </si>
  <si>
    <t>MASON MATERIALS</t>
  </si>
  <si>
    <t>Bond,Gloves,Level Tube etc..</t>
  </si>
  <si>
    <t>Labour Lunch</t>
  </si>
  <si>
    <t>Petrol Can 5L</t>
  </si>
  <si>
    <t>CENTRING MATERIALS</t>
  </si>
  <si>
    <t>Lever Blade Pipe Wire etc</t>
  </si>
  <si>
    <t>PETROL-GENSET</t>
  </si>
  <si>
    <t>Petrol for Genset</t>
  </si>
  <si>
    <t>Dhimsu Lock and Chain</t>
  </si>
  <si>
    <t>Drum 2 nos Pot 2 nos</t>
  </si>
  <si>
    <t>Plastic cup for drinking water</t>
  </si>
  <si>
    <t>Paid for Earth Work 544</t>
  </si>
  <si>
    <t>BUILDING MATERIALS</t>
  </si>
  <si>
    <t>Cement 60 Bags</t>
  </si>
  <si>
    <t>OTHER TRANSPORT</t>
  </si>
  <si>
    <t>Putu maram from Ramanathapuram to Happy Town</t>
  </si>
  <si>
    <t>Genset Petrol</t>
  </si>
  <si>
    <t>Earth work for 760</t>
  </si>
  <si>
    <t>Cutting Mach</t>
  </si>
  <si>
    <t>Expense</t>
  </si>
  <si>
    <t>MASON LABOUR</t>
  </si>
  <si>
    <t>Paid for Mason Lunch</t>
  </si>
  <si>
    <t>Paid for Steel Footing Susshant</t>
  </si>
  <si>
    <t>CENTRING LABOUR</t>
  </si>
  <si>
    <t>Weekly lab payment Honest</t>
  </si>
  <si>
    <t>Weekly lab payment Mani</t>
  </si>
  <si>
    <t>TEA</t>
  </si>
  <si>
    <t>Concrete Tea expense</t>
  </si>
  <si>
    <t>Genset Petrol Footing Concrete</t>
  </si>
  <si>
    <t>Genset Petrol Footing Column Concrete</t>
  </si>
  <si>
    <t>DIESEL-MACHINE</t>
  </si>
  <si>
    <t>Diesel for Machine</t>
  </si>
  <si>
    <t>Paid for Labour tea</t>
  </si>
  <si>
    <t>Bought Sponge and Brush - Ramesh</t>
  </si>
  <si>
    <t>Paid to Manoj for Coramondal 100 bags</t>
  </si>
  <si>
    <t>Steel pending Amt to Manoj</t>
  </si>
  <si>
    <t>Paid for 60 Bags JSW to Palanai Murugan</t>
  </si>
  <si>
    <t>Paid to mani weekly labour</t>
  </si>
  <si>
    <t>Paid tro Honest Weekly Labour</t>
  </si>
  <si>
    <t>Footing Refiling</t>
  </si>
  <si>
    <t>Paid to RSK for Materials Part Payment</t>
  </si>
  <si>
    <t>Paid to Tea Vendor Weekly Payment</t>
  </si>
  <si>
    <t>CENTRING RENTALS</t>
  </si>
  <si>
    <t>Paid to SKS N CO for Footing Column</t>
  </si>
  <si>
    <t>Footing Concrete</t>
  </si>
  <si>
    <t>CONCRETE GROUP</t>
  </si>
  <si>
    <t>Extra amount for Kannan Anbu</t>
  </si>
  <si>
    <t>CASH</t>
  </si>
  <si>
    <t>Cash From Kovilpalayam</t>
  </si>
  <si>
    <t>Bought Steel for Belt Beam</t>
  </si>
  <si>
    <t>Paid to Ramesh for Petrol</t>
  </si>
  <si>
    <t>Cutting Machine Rent Adv</t>
  </si>
  <si>
    <t>Paid to Master</t>
  </si>
  <si>
    <t>Paid to Ramesh weekly lab</t>
  </si>
  <si>
    <t>Tata ace for palagai angle for plinth beam from gsquare</t>
  </si>
  <si>
    <t>Brick Unloading Flyash</t>
  </si>
  <si>
    <t>Concrete Machine Diesel</t>
  </si>
  <si>
    <t>Geneset Petrol</t>
  </si>
  <si>
    <t>Waste oil for plinth sheets</t>
  </si>
  <si>
    <t>Conncrete lab tiffin</t>
  </si>
  <si>
    <t>Satti Mattakool and lab shed electrical items</t>
  </si>
  <si>
    <t>Wood cutter machine rent</t>
  </si>
  <si>
    <t>Paid via Acc Petrol</t>
  </si>
  <si>
    <t>Paid cash to Ramesh</t>
  </si>
  <si>
    <t>SALT WATER</t>
  </si>
  <si>
    <t>3 loads of 12K Litre Water</t>
  </si>
  <si>
    <t>Mani lab payment</t>
  </si>
  <si>
    <t>Ramesh lab payment</t>
  </si>
  <si>
    <t>Plinth beam side sheet rent</t>
  </si>
  <si>
    <t>Plinth beam Concrete gang</t>
  </si>
  <si>
    <t>ELECTRICIAL</t>
  </si>
  <si>
    <t>Labour Shed Electrical Work</t>
  </si>
  <si>
    <t>Labour Tea</t>
  </si>
  <si>
    <t>Paid for cement 60 bags</t>
  </si>
  <si>
    <t>Cash from TSK</t>
  </si>
  <si>
    <t>Lab cooking vessels</t>
  </si>
  <si>
    <t>JCB advance</t>
  </si>
  <si>
    <t>JCB Basement Filling</t>
  </si>
  <si>
    <t>PCC conc machine diesel</t>
  </si>
  <si>
    <t>Anti Termite Oil</t>
  </si>
  <si>
    <t>ELECTRICIAL LABOUR</t>
  </si>
  <si>
    <t>PLUMBING LABOUR</t>
  </si>
  <si>
    <t>PAINTING LABOUR</t>
  </si>
  <si>
    <t>RENTAL TRANSPORT</t>
  </si>
  <si>
    <t>LABOUR TRANSPORT</t>
  </si>
  <si>
    <t>Mani Mason Advance</t>
  </si>
  <si>
    <t>Waste oil for Column Box</t>
  </si>
  <si>
    <t>Labour Petrol for Vehicle</t>
  </si>
  <si>
    <t>Flyash Bricks 10K nos</t>
  </si>
  <si>
    <t>LN</t>
  </si>
  <si>
    <t>Petrol Amount</t>
  </si>
  <si>
    <t>Weekly Lab Payment</t>
  </si>
  <si>
    <t>Fitter lab payment Ramesh</t>
  </si>
  <si>
    <t>Column Concrete and PCC two Sites</t>
  </si>
  <si>
    <t>Sara Kairu</t>
  </si>
  <si>
    <t>Petrol Genset</t>
  </si>
  <si>
    <t>Column Box Rent</t>
  </si>
  <si>
    <t>Simaru paid cash to Ramesh</t>
  </si>
  <si>
    <t>Kannan Extra Lab</t>
  </si>
  <si>
    <t>Santha Missing Payment</t>
  </si>
  <si>
    <t>Elevation Design Amount Adv</t>
  </si>
  <si>
    <t>Mason Gloves 3 Set</t>
  </si>
  <si>
    <t>Cash from LN</t>
  </si>
  <si>
    <t>SK SITE</t>
  </si>
  <si>
    <t>RSK Payment</t>
  </si>
  <si>
    <t>Transferred to SK site</t>
  </si>
  <si>
    <t>Cement Part Payment</t>
  </si>
  <si>
    <t>Mason Weekly Labour</t>
  </si>
  <si>
    <t>Prasanth Vehicle Petrol</t>
  </si>
  <si>
    <t>Material Shifting Porter</t>
  </si>
  <si>
    <t>Vehicle Petrol Ramesh</t>
  </si>
  <si>
    <t>Ayudha Pooja Labour</t>
  </si>
  <si>
    <t>Mason Labour Advance</t>
  </si>
  <si>
    <t>Puncture two wheeler</t>
  </si>
  <si>
    <t>Cement Old Balance</t>
  </si>
  <si>
    <t>Weekly Lab Payment Mani</t>
  </si>
  <si>
    <t>3 days Petrol Genset</t>
  </si>
  <si>
    <t>Labour Tea Weekly Payment</t>
  </si>
  <si>
    <t>Labour Pending amount</t>
  </si>
  <si>
    <t>GSQUARE SITE</t>
  </si>
  <si>
    <t>Cash Transfer to SK site</t>
  </si>
  <si>
    <t>Cash Transfer to Gsquare</t>
  </si>
  <si>
    <t>Nails 3 kg each</t>
  </si>
  <si>
    <t>Porter Maram Palagai</t>
  </si>
  <si>
    <t>MATERIALS:</t>
  </si>
  <si>
    <t>LABOUR:</t>
  </si>
  <si>
    <t>TRANSFER:</t>
  </si>
  <si>
    <t>Mani Mason Advance Cash</t>
  </si>
  <si>
    <t>Ramesh Fitter Adv Cash</t>
  </si>
  <si>
    <t>Project Value:</t>
  </si>
  <si>
    <t>Amount Received:</t>
  </si>
  <si>
    <t>Nails</t>
  </si>
  <si>
    <t>2 times to Happy Town</t>
  </si>
  <si>
    <t xml:space="preserve">Materials Shifting </t>
  </si>
  <si>
    <t>AK Steels Payment</t>
  </si>
  <si>
    <t>Roof sheet advance</t>
  </si>
  <si>
    <t>Palani Murugan Cement Payment</t>
  </si>
  <si>
    <t>Lab bike petrol</t>
  </si>
  <si>
    <t>Basement Consolidation</t>
  </si>
  <si>
    <t>Pending Payment</t>
  </si>
  <si>
    <t>Elevation Design Amount Pending</t>
  </si>
  <si>
    <t>Concrete Pooja</t>
  </si>
  <si>
    <t>Tea Tamil Karthi</t>
  </si>
  <si>
    <t>Roof concrete Diesel</t>
  </si>
  <si>
    <t>Lunch for Labours</t>
  </si>
  <si>
    <t>GF Roof Pipe Concrete</t>
  </si>
  <si>
    <t>Ramesh Fitter Payment</t>
  </si>
  <si>
    <t>Kannan and Honest Extra</t>
  </si>
  <si>
    <t>Roof Concrete Amount GF</t>
  </si>
  <si>
    <t>ELECTRICAL MATERIALS</t>
  </si>
  <si>
    <t>PLUMBING MATERIALS</t>
  </si>
  <si>
    <t>Roof Concrete Pipe materials</t>
  </si>
  <si>
    <t>Cash from LN roof part</t>
  </si>
  <si>
    <t>Rsk Part Payment</t>
  </si>
  <si>
    <t>Cement Pending Payment</t>
  </si>
  <si>
    <t>Kannan Honest Extra pending</t>
  </si>
  <si>
    <t>Cash from LN roof bal amt</t>
  </si>
  <si>
    <t>Nails 760 roof</t>
  </si>
  <si>
    <t>Electrical gaudi petrol</t>
  </si>
  <si>
    <t>FItter lab payment</t>
  </si>
  <si>
    <t>Electrical work petrol</t>
  </si>
  <si>
    <t>Paid to Sathish buying Petrol</t>
  </si>
  <si>
    <t>Mani Lab Advance</t>
  </si>
  <si>
    <t>Waste oil for roof sheets</t>
  </si>
  <si>
    <t>Mani lab wekly payment</t>
  </si>
  <si>
    <t>Ramesh fitter payment</t>
  </si>
  <si>
    <t>Ramesh Advnce</t>
  </si>
  <si>
    <t>GF Gaudi and pipe laying work</t>
  </si>
  <si>
    <t>Honest extra</t>
  </si>
  <si>
    <t>Weekly Lab Tea 2 weeks</t>
  </si>
  <si>
    <t>Vehicle Petrol</t>
  </si>
  <si>
    <t>Pooja Items</t>
  </si>
  <si>
    <t>Roof conc jackey adv</t>
  </si>
  <si>
    <t>Mason Advance Rajkumar</t>
  </si>
  <si>
    <t>Fitter Payment for Roof</t>
  </si>
  <si>
    <t>Roof Pipe for Concrete</t>
  </si>
  <si>
    <t xml:space="preserve">Weekly Labour Payment </t>
  </si>
  <si>
    <t>Roof Steel Amount</t>
  </si>
  <si>
    <t>Uli 2 nos</t>
  </si>
  <si>
    <t>Prasanth Mason Adv</t>
  </si>
  <si>
    <t>Cash from LN roof part amt</t>
  </si>
  <si>
    <t>Prasanth Lab Payment</t>
  </si>
  <si>
    <t>Chicken Mesh</t>
  </si>
  <si>
    <t>Porter Maram to Gsquare</t>
  </si>
  <si>
    <t>Sponge</t>
  </si>
  <si>
    <t>Labour Advance</t>
  </si>
  <si>
    <t>Prasanth Mason Labour</t>
  </si>
  <si>
    <t>Ramesh Fitter Labour</t>
  </si>
  <si>
    <t>Cash from LN roof amt</t>
  </si>
  <si>
    <t>Petrol Genset 3 days</t>
  </si>
  <si>
    <t>Verified(Ramesh adv has been deleted 5500)</t>
  </si>
  <si>
    <t>Mani mason labour</t>
  </si>
  <si>
    <t>Ramesh fitter labour</t>
  </si>
  <si>
    <t>RSK Pending Part Payment</t>
  </si>
  <si>
    <t>FABRICATION WORK</t>
  </si>
  <si>
    <t>PILE - COMPOUND</t>
  </si>
  <si>
    <t>Grill Advance</t>
  </si>
  <si>
    <t>Pile advance</t>
  </si>
  <si>
    <t>Roof sheet Pending Amt</t>
  </si>
  <si>
    <t>Tamil Karthi</t>
  </si>
  <si>
    <t>Mason Labour Advance Mani</t>
  </si>
  <si>
    <t>Blade</t>
  </si>
  <si>
    <t>Pending lab tea Expenses</t>
  </si>
  <si>
    <t>Genset Petrol Electrician</t>
  </si>
  <si>
    <t>Gaudi work GF</t>
  </si>
  <si>
    <t>Kannan Extra Lab last week</t>
  </si>
  <si>
    <t>Mani labour payment</t>
  </si>
  <si>
    <t xml:space="preserve">Compound wall pile work </t>
  </si>
  <si>
    <t>Ramesh last week pending</t>
  </si>
  <si>
    <t>Mani mason advance</t>
  </si>
  <si>
    <t>Verified(Deleted 7100 fitter adv)(Added mani adv amt 10k)</t>
  </si>
  <si>
    <t>Mani mason payment</t>
  </si>
  <si>
    <t>Fitter lab payment column covering</t>
  </si>
  <si>
    <t>Petrol for vehicle</t>
  </si>
  <si>
    <t>two days petrol am</t>
  </si>
  <si>
    <t>Blade cutting machine dryer</t>
  </si>
  <si>
    <t>Grill pending work</t>
  </si>
  <si>
    <t>Mason Mani Lab Payment</t>
  </si>
  <si>
    <t>Tea Weekly pending amt</t>
  </si>
  <si>
    <t>Petro for Genset</t>
  </si>
  <si>
    <t>Plastering Part Amt</t>
  </si>
  <si>
    <t>Weeekly Lab Payment</t>
  </si>
  <si>
    <t xml:space="preserve">Electrician Payment </t>
  </si>
  <si>
    <t>JOINERIES</t>
  </si>
  <si>
    <t>Nilavu Advance</t>
  </si>
  <si>
    <t>Sponge Blade</t>
  </si>
  <si>
    <t>Kumar mason Adv</t>
  </si>
  <si>
    <t>Plastering Pendig Closed</t>
  </si>
  <si>
    <t>Petrol amount</t>
  </si>
  <si>
    <t>Mason Labour Kumar</t>
  </si>
  <si>
    <t>Plumbing Work</t>
  </si>
  <si>
    <t>Solid block Flyash</t>
  </si>
  <si>
    <t>Genset petrol</t>
  </si>
  <si>
    <t>Lab tea pending two weeks</t>
  </si>
  <si>
    <t>Nilavu Balance 32500+1500 transport</t>
  </si>
  <si>
    <t>Mason Adv Kumar</t>
  </si>
  <si>
    <t>Painter adv</t>
  </si>
  <si>
    <t>Painter for Primer White Cement</t>
  </si>
  <si>
    <t>Pongal amount</t>
  </si>
  <si>
    <t>Mason lab amt part payment</t>
  </si>
  <si>
    <t>Allu piece clamp for nilavu</t>
  </si>
  <si>
    <t>Pending Lab amt Kumar</t>
  </si>
  <si>
    <t>Painter Adv</t>
  </si>
  <si>
    <t>Genset Petrol two bills</t>
  </si>
  <si>
    <t>Kumar Mason Lab</t>
  </si>
  <si>
    <t>Plumbing Work Selvam</t>
  </si>
  <si>
    <t>Painting lab row house</t>
  </si>
  <si>
    <t>PAINTING MATERIALS</t>
  </si>
  <si>
    <t>Painter wood primer</t>
  </si>
  <si>
    <t>Sunday Petrol Amount</t>
  </si>
  <si>
    <t>Petrol Advance</t>
  </si>
  <si>
    <t>Mesh purchase</t>
  </si>
  <si>
    <t>Putty Bag 1 nos</t>
  </si>
  <si>
    <t>Lab adv</t>
  </si>
  <si>
    <t>Selvam Lab paymeny</t>
  </si>
  <si>
    <t>Painter lab paymenyt</t>
  </si>
  <si>
    <t>Vishnu grill payment</t>
  </si>
  <si>
    <t>Ramdev hardwares part payment</t>
  </si>
  <si>
    <t>Lab tea Vendor</t>
  </si>
  <si>
    <t>Mason adv Kumar</t>
  </si>
  <si>
    <t>Mason Lab Payment</t>
  </si>
  <si>
    <t>Grill pending amt</t>
  </si>
  <si>
    <t>Stage Payment Plastering</t>
  </si>
  <si>
    <t>Nilavu clamp</t>
  </si>
  <si>
    <t>Pooja for nilavu</t>
  </si>
  <si>
    <t>Kumar lab payment</t>
  </si>
  <si>
    <t>Selvam Lab payment</t>
  </si>
  <si>
    <t>Solid block 800 nos part payment</t>
  </si>
  <si>
    <t>NV associates part payment</t>
  </si>
  <si>
    <t>Paid to Genset Petrol</t>
  </si>
  <si>
    <t xml:space="preserve"> Lab vehicle petrol</t>
  </si>
  <si>
    <t>Kumar mason lab</t>
  </si>
  <si>
    <t>Lab adv payment</t>
  </si>
  <si>
    <t>Cement NV Associates</t>
  </si>
  <si>
    <t>Solid block SV Traders</t>
  </si>
  <si>
    <t xml:space="preserve">Lab Weekly Tea </t>
  </si>
  <si>
    <t>Kumar Mason Adv</t>
  </si>
  <si>
    <t>Wire fixing</t>
  </si>
  <si>
    <t>Ramdev wire part payment</t>
  </si>
  <si>
    <t>TILES PURCHASE</t>
  </si>
  <si>
    <t>Purchase for one site</t>
  </si>
  <si>
    <t>Genset Peteol</t>
  </si>
  <si>
    <t>Tiles paste porter</t>
  </si>
  <si>
    <t>Kumar Payment</t>
  </si>
  <si>
    <t>Kumar Mason Payment</t>
  </si>
  <si>
    <t xml:space="preserve">Selvam Labour </t>
  </si>
  <si>
    <t>TILES LABOUR</t>
  </si>
  <si>
    <t>Tiles lab Advance</t>
  </si>
  <si>
    <t>Genset Petrol Adv</t>
  </si>
  <si>
    <t xml:space="preserve">Tiles Spacer flexi quik </t>
  </si>
  <si>
    <t>Bal amt with kumar petrol</t>
  </si>
  <si>
    <t xml:space="preserve">Genset Petrol </t>
  </si>
  <si>
    <t>Granite Unloading</t>
  </si>
  <si>
    <t xml:space="preserve">Kumar Mason Adv </t>
  </si>
  <si>
    <t>Part payment second house</t>
  </si>
  <si>
    <t>Tiles paste porter - Paid to Nithish</t>
  </si>
  <si>
    <t>Kumar Mason lab</t>
  </si>
  <si>
    <t>Advance</t>
  </si>
  <si>
    <t>Lab tea</t>
  </si>
  <si>
    <t>Petrol Genset Tiles</t>
  </si>
  <si>
    <t>Fevi quik for tiles</t>
  </si>
  <si>
    <t>Lab advance</t>
  </si>
  <si>
    <t>Kumar mason Lab</t>
  </si>
  <si>
    <t>Selvam Electrical Lab</t>
  </si>
  <si>
    <t>Tiles paste purchase</t>
  </si>
  <si>
    <t>Tiles pending amount</t>
  </si>
  <si>
    <t>ELECTRICAL LABOUR</t>
  </si>
  <si>
    <t>Selvam Lab</t>
  </si>
  <si>
    <t>SV Traders Pending - Correction</t>
  </si>
  <si>
    <t>Ramdev Payment</t>
  </si>
  <si>
    <t>Chakra Payment</t>
  </si>
  <si>
    <t>Selvam Purchase</t>
  </si>
  <si>
    <t>Plumbing - Selvam Purchase</t>
  </si>
  <si>
    <t>Lab Tea</t>
  </si>
  <si>
    <t>Prasnath Petrol for Cement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</si>
</sst>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/mm/yy"/>
    <numFmt numFmtId="165" formatCode="&quot;₹&quot;\ #,##0.00;[Red]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3" xfId="0" applyBorder="1"/>
    <xf numFmtId="0" fontId="0" fillId="0" borderId="3" xfId="0" applyFill="1" applyBorder="1"/>
  </cellXfs>
  <cellStyles count="1">
    <cellStyle name="Normal" xfId="0" builtinId="0"/>
  </cellStyles>
  <dxfs count="21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08.665117013887" createdVersion="8" refreshedVersion="8" minRefreshableVersion="3" recordCount="405" xr:uid="{ECDDBE9B-8132-48D6-AEC8-4A5EB49DBA77}">
  <cacheSource type="worksheet">
    <worksheetSource ref="A1:D1009" sheet="Expenses"/>
  </cacheSource>
  <cacheFields count="4">
    <cacheField name="DATE" numFmtId="164">
      <sharedItems containsNonDate="0" containsDate="1" containsString="0" containsBlank="1" minDate="2012-10-29T00:00:00" maxDate="2036-03-10T00:00:00"/>
    </cacheField>
    <cacheField name="TYPE OF EXPENSE" numFmtId="0">
      <sharedItems containsBlank="1" count="29">
        <s v="MASON MATERIALS"/>
        <s v="PETTY CASH"/>
        <s v="CENTRING MATERIALS"/>
        <s v="PETROL-GENSET"/>
        <s v="JCB"/>
        <s v="BUILDING MATERIALS"/>
        <s v="OTHER TRANSPORT"/>
        <s v="MASON LABOUR"/>
        <s v="CENTRING LABOUR"/>
        <s v="TEA"/>
        <s v="DIESEL-MACHINE"/>
        <s v="CONCRETE GROUP"/>
        <s v="CENTRING RENTALS"/>
        <s v="SALT WATER"/>
        <s v="ELECTRICIAL"/>
        <s v="LABOUR TRANSPORT"/>
        <s v="SK SITE"/>
        <s v="GSQUARE SITE"/>
        <s v="ELECTRICIAL LABOUR"/>
        <s v="ELECTRICAL MATERIALS"/>
        <s v="FABRICATION WORK"/>
        <s v="PILE - COMPOUND"/>
        <s v="JOINERIES"/>
        <s v="PAINTING LABOUR"/>
        <s v="PAINTING MATERIALS"/>
        <s v="TILES PURCHASE"/>
        <s v="TILES LABOUR"/>
        <s v="ELECTRICAL LABOUR"/>
        <m/>
      </sharedItems>
    </cacheField>
    <cacheField name="AMOUNT" numFmtId="165">
      <sharedItems containsString="0" containsBlank="1" containsNumber="1" containsInteger="1" minValue="40" maxValue="200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d v="2025-08-19T00:00:00"/>
    <x v="0"/>
    <n v="6400"/>
    <s v="Bond,Gloves,Level Tube etc.."/>
  </r>
  <r>
    <d v="2025-08-19T00:00:00"/>
    <x v="1"/>
    <n v="200"/>
    <s v="Labour Lunch"/>
  </r>
  <r>
    <d v="2025-08-20T00:00:00"/>
    <x v="2"/>
    <n v="700"/>
    <s v="Cutting Mach"/>
  </r>
  <r>
    <d v="2025-08-20T00:00:00"/>
    <x v="1"/>
    <n v="70"/>
    <s v="Petrol Can 5L"/>
  </r>
  <r>
    <d v="2025-08-20T00:00:00"/>
    <x v="2"/>
    <n v="900"/>
    <s v="Lever Blade Pipe Wire etc"/>
  </r>
  <r>
    <d v="2025-08-20T00:00:00"/>
    <x v="3"/>
    <n v="400"/>
    <s v="Petrol for Genset"/>
  </r>
  <r>
    <d v="2025-08-20T00:00:00"/>
    <x v="0"/>
    <n v="650"/>
    <s v="Dhimsu Lock and Chain"/>
  </r>
  <r>
    <d v="2025-08-20T00:00:00"/>
    <x v="0"/>
    <n v="920"/>
    <s v="Drum 2 nos Pot 2 nos"/>
  </r>
  <r>
    <d v="2025-08-20T00:00:00"/>
    <x v="1"/>
    <n v="400"/>
    <s v="Labour Lunch"/>
  </r>
  <r>
    <d v="2025-08-20T00:00:00"/>
    <x v="1"/>
    <n v="100"/>
    <s v="Plastic cup for drinking water"/>
  </r>
  <r>
    <d v="2025-08-20T00:00:00"/>
    <x v="4"/>
    <n v="5000"/>
    <s v="Paid for Earth Work 544"/>
  </r>
  <r>
    <d v="2025-08-21T00:00:00"/>
    <x v="5"/>
    <n v="19500"/>
    <s v="Cement 60 Bags"/>
  </r>
  <r>
    <d v="2025-08-21T00:00:00"/>
    <x v="1"/>
    <n v="150"/>
    <s v="Brick Unloading"/>
  </r>
  <r>
    <d v="2025-08-21T00:00:00"/>
    <x v="6"/>
    <n v="1050"/>
    <s v="Putu maram from Ramanathapuram to Happy Town"/>
  </r>
  <r>
    <d v="2025-08-21T00:00:00"/>
    <x v="3"/>
    <n v="300"/>
    <s v="Genset Petrol"/>
  </r>
  <r>
    <d v="2025-08-21T00:00:00"/>
    <x v="3"/>
    <n v="300"/>
    <s v="Genset Petrol"/>
  </r>
  <r>
    <d v="2025-08-21T00:00:00"/>
    <x v="4"/>
    <n v="7000"/>
    <s v="Earth work for 760"/>
  </r>
  <r>
    <d v="2025-08-22T00:00:00"/>
    <x v="3"/>
    <n v="300"/>
    <s v="Genset Petrol"/>
  </r>
  <r>
    <d v="2025-08-23T00:00:00"/>
    <x v="7"/>
    <n v="1000"/>
    <s v="Paid for Mason Lunch"/>
  </r>
  <r>
    <d v="2025-08-23T00:00:00"/>
    <x v="5"/>
    <n v="65000"/>
    <s v="Paid for Steel Footing Susshant"/>
  </r>
  <r>
    <d v="2025-08-23T00:00:00"/>
    <x v="7"/>
    <n v="23400"/>
    <s v="Weekly lab payment Mani"/>
  </r>
  <r>
    <d v="2025-08-23T00:00:00"/>
    <x v="8"/>
    <n v="12400"/>
    <s v="Weekly lab payment Honest"/>
  </r>
  <r>
    <d v="2025-08-24T00:00:00"/>
    <x v="3"/>
    <n v="400"/>
    <s v="Genset Petrol Footing Concrete"/>
  </r>
  <r>
    <d v="2025-08-24T00:00:00"/>
    <x v="9"/>
    <n v="240"/>
    <s v="Concrete Tea expense"/>
  </r>
  <r>
    <d v="2025-08-24T00:00:00"/>
    <x v="3"/>
    <n v="300"/>
    <s v="Genset Petrol Footing Concrete"/>
  </r>
  <r>
    <d v="2025-08-25T00:00:00"/>
    <x v="3"/>
    <n v="500"/>
    <s v="Genset Petrol Footing Column Concrete"/>
  </r>
  <r>
    <d v="2025-08-25T00:00:00"/>
    <x v="10"/>
    <n v="467"/>
    <s v="Diesel for Machine"/>
  </r>
  <r>
    <d v="2025-08-26T00:00:00"/>
    <x v="3"/>
    <n v="400"/>
    <s v="Petrol for Genset"/>
  </r>
  <r>
    <d v="2025-08-26T00:00:00"/>
    <x v="9"/>
    <n v="200"/>
    <s v="Paid for Labour tea"/>
  </r>
  <r>
    <d v="2025-08-26T00:00:00"/>
    <x v="1"/>
    <n v="320"/>
    <s v="Bought Sponge and Brush - Ramesh"/>
  </r>
  <r>
    <d v="2025-08-26T00:00:00"/>
    <x v="5"/>
    <n v="30000"/>
    <s v="Paid to Manoj for Coramondal 100 bags"/>
  </r>
  <r>
    <d v="2025-08-30T00:00:00"/>
    <x v="5"/>
    <n v="20000"/>
    <s v="Steel pending Amt to Manoj"/>
  </r>
  <r>
    <d v="2025-08-30T00:00:00"/>
    <x v="5"/>
    <n v="19200"/>
    <s v="Paid for 60 Bags JSW to Palanai Murugan"/>
  </r>
  <r>
    <d v="2025-08-30T00:00:00"/>
    <x v="7"/>
    <n v="63900"/>
    <s v="Paid to mani weekly labour"/>
  </r>
  <r>
    <d v="2025-08-30T00:00:00"/>
    <x v="8"/>
    <n v="6200"/>
    <s v="Paid tro Honest Weekly Labour"/>
  </r>
  <r>
    <d v="2025-08-30T00:00:00"/>
    <x v="4"/>
    <n v="3800"/>
    <s v="Footing Refiling"/>
  </r>
  <r>
    <d v="2025-08-30T00:00:00"/>
    <x v="5"/>
    <n v="50000"/>
    <s v="Paid to RSK for Materials Part Payment"/>
  </r>
  <r>
    <d v="2025-08-30T00:00:00"/>
    <x v="11"/>
    <n v="15000"/>
    <s v="Footing Concrete"/>
  </r>
  <r>
    <d v="2025-09-01T00:00:00"/>
    <x v="9"/>
    <n v="357"/>
    <s v="Paid to Tea Vendor Weekly Payment"/>
  </r>
  <r>
    <d v="2025-09-01T00:00:00"/>
    <x v="12"/>
    <n v="3000"/>
    <s v="Paid to SKS N CO for Footing Column"/>
  </r>
  <r>
    <d v="2025-09-03T00:00:00"/>
    <x v="8"/>
    <n v="200"/>
    <s v="Extra amount for Kannan Anbu"/>
  </r>
  <r>
    <d v="2025-09-04T00:00:00"/>
    <x v="3"/>
    <n v="300"/>
    <s v="Paid to Ramesh for Petrol"/>
  </r>
  <r>
    <d v="2025-09-04T00:00:00"/>
    <x v="12"/>
    <n v="1000"/>
    <s v="Cutting Machine Rent Adv"/>
  </r>
  <r>
    <d v="2025-09-04T00:00:00"/>
    <x v="5"/>
    <n v="42000"/>
    <s v="Bought Steel for Belt Beam"/>
  </r>
  <r>
    <d v="2025-09-06T00:00:00"/>
    <x v="5"/>
    <n v="47500"/>
    <s v="Bought Steel for Belt Beam"/>
  </r>
  <r>
    <d v="2025-09-06T00:00:00"/>
    <x v="3"/>
    <n v="300"/>
    <s v="Paid to Master"/>
  </r>
  <r>
    <d v="2025-09-06T00:00:00"/>
    <x v="7"/>
    <n v="9500"/>
    <s v="Paid to mani weekly labour"/>
  </r>
  <r>
    <d v="2025-09-06T00:00:00"/>
    <x v="8"/>
    <n v="4200"/>
    <s v="Paid to Ramesh weekly lab"/>
  </r>
  <r>
    <d v="2025-09-06T00:00:00"/>
    <x v="5"/>
    <n v="50000"/>
    <s v="Paid to RSK for Materials Part Payment"/>
  </r>
  <r>
    <d v="2025-09-08T00:00:00"/>
    <x v="6"/>
    <n v="420"/>
    <s v="Tata ace for palagai angle for plinth beam from gsquare"/>
  </r>
  <r>
    <d v="2025-09-08T00:00:00"/>
    <x v="1"/>
    <n v="100"/>
    <s v="Brick Unloading Flyash"/>
  </r>
  <r>
    <d v="2025-09-09T00:00:00"/>
    <x v="10"/>
    <n v="500"/>
    <s v="Concrete Machine Diesel"/>
  </r>
  <r>
    <d v="2025-09-09T00:00:00"/>
    <x v="3"/>
    <n v="500"/>
    <s v="Geneset Petrol"/>
  </r>
  <r>
    <d v="2025-09-09T00:00:00"/>
    <x v="1"/>
    <n v="250"/>
    <s v="Waste oil for plinth sheets"/>
  </r>
  <r>
    <d v="2025-09-09T00:00:00"/>
    <x v="11"/>
    <n v="100"/>
    <s v="Conncrete lab tiffin"/>
  </r>
  <r>
    <d v="2025-09-10T00:00:00"/>
    <x v="0"/>
    <n v="2765"/>
    <s v="Satti Mattakool and lab shed electrical items"/>
  </r>
  <r>
    <d v="2025-09-11T00:00:00"/>
    <x v="3"/>
    <n v="500"/>
    <s v="Genset Petrol"/>
  </r>
  <r>
    <d v="2025-09-12T00:00:00"/>
    <x v="3"/>
    <n v="500"/>
    <s v="Genset Petrol"/>
  </r>
  <r>
    <d v="2025-09-12T00:00:00"/>
    <x v="12"/>
    <n v="300"/>
    <s v="Wood cutter machine rent"/>
  </r>
  <r>
    <d v="2025-09-13T00:00:00"/>
    <x v="3"/>
    <n v="500"/>
    <s v="Paid via Acc Petrol"/>
  </r>
  <r>
    <d v="2025-09-13T00:00:00"/>
    <x v="3"/>
    <n v="500"/>
    <s v="Paid cash to Ramesh"/>
  </r>
  <r>
    <d v="2025-09-13T00:00:00"/>
    <x v="13"/>
    <n v="5400"/>
    <s v="3 loads of 12K Litre Water"/>
  </r>
  <r>
    <d v="2025-09-13T00:00:00"/>
    <x v="12"/>
    <n v="350"/>
    <s v="Cutting Machine Rent Adv"/>
  </r>
  <r>
    <d v="2025-09-13T00:00:00"/>
    <x v="7"/>
    <n v="38550"/>
    <s v="Mani lab payment"/>
  </r>
  <r>
    <d v="2025-09-13T00:00:00"/>
    <x v="8"/>
    <n v="22900"/>
    <s v="Ramesh lab payment"/>
  </r>
  <r>
    <d v="2025-09-13T00:00:00"/>
    <x v="2"/>
    <n v="6000"/>
    <s v="Plinth beam side sheet rent"/>
  </r>
  <r>
    <d v="2025-09-13T00:00:00"/>
    <x v="11"/>
    <n v="15000"/>
    <s v="Plinth beam Concrete gang"/>
  </r>
  <r>
    <d v="2025-09-13T00:00:00"/>
    <x v="14"/>
    <n v="1500"/>
    <s v="Labour Shed Electrical Work"/>
  </r>
  <r>
    <d v="2025-09-13T00:00:00"/>
    <x v="9"/>
    <n v="1500"/>
    <s v="Labour Tea"/>
  </r>
  <r>
    <d v="2025-09-14T00:00:00"/>
    <x v="3"/>
    <n v="500"/>
    <s v="Genset Petrol"/>
  </r>
  <r>
    <d v="2025-09-15T00:00:00"/>
    <x v="5"/>
    <n v="38400"/>
    <s v="Paid for cement 60 bags"/>
  </r>
  <r>
    <d v="2025-09-15T00:00:00"/>
    <x v="3"/>
    <n v="500"/>
    <s v="Genset Petrol"/>
  </r>
  <r>
    <d v="2025-09-15T00:00:00"/>
    <x v="1"/>
    <n v="530"/>
    <s v="Lab cooking vessels"/>
  </r>
  <r>
    <d v="2025-09-15T00:00:00"/>
    <x v="4"/>
    <n v="1000"/>
    <s v="JCB advance"/>
  </r>
  <r>
    <d v="2025-09-15T00:00:00"/>
    <x v="7"/>
    <n v="2400"/>
    <s v="Santha Missing Payment"/>
  </r>
  <r>
    <d v="2025-09-16T00:00:00"/>
    <x v="4"/>
    <n v="6000"/>
    <s v="JCB Basement Filling"/>
  </r>
  <r>
    <d v="2025-09-16T00:00:00"/>
    <x v="10"/>
    <n v="500"/>
    <s v="PCC conc machine diesel"/>
  </r>
  <r>
    <d v="2025-09-16T00:00:00"/>
    <x v="3"/>
    <n v="500"/>
    <s v="Genset Petrol"/>
  </r>
  <r>
    <d v="2025-09-16T00:00:00"/>
    <x v="1"/>
    <n v="1650"/>
    <s v="Anti Termite Oil"/>
  </r>
  <r>
    <d v="2025-09-17T00:00:00"/>
    <x v="3"/>
    <n v="500"/>
    <s v="Genset Petrol"/>
  </r>
  <r>
    <d v="2025-09-17T00:00:00"/>
    <x v="7"/>
    <n v="10000"/>
    <s v="Mani Mason Advance"/>
  </r>
  <r>
    <d v="2025-09-18T00:00:00"/>
    <x v="3"/>
    <n v="500"/>
    <s v="Genset Petrol"/>
  </r>
  <r>
    <d v="2025-09-18T00:00:00"/>
    <x v="1"/>
    <n v="250"/>
    <s v="Waste oil for Column Box"/>
  </r>
  <r>
    <d v="2025-09-18T00:00:00"/>
    <x v="15"/>
    <n v="250"/>
    <s v="Labour Petrol for Vehicle"/>
  </r>
  <r>
    <d v="2025-09-18T00:00:00"/>
    <x v="1"/>
    <n v="400"/>
    <s v="Brick Unloading"/>
  </r>
  <r>
    <d v="2025-09-18T00:00:00"/>
    <x v="5"/>
    <n v="72000"/>
    <s v="Flyash Bricks 10K nos"/>
  </r>
  <r>
    <d v="2025-09-18T00:00:00"/>
    <x v="8"/>
    <n v="100"/>
    <s v="Kannan Extra Lab"/>
  </r>
  <r>
    <d v="2025-09-19T00:00:00"/>
    <x v="3"/>
    <n v="500"/>
    <s v="Genset Petrol"/>
  </r>
  <r>
    <d v="2025-09-20T00:00:00"/>
    <x v="3"/>
    <n v="500"/>
    <s v="Genset Petrol"/>
  </r>
  <r>
    <d v="2025-09-20T00:00:00"/>
    <x v="7"/>
    <n v="43350"/>
    <s v="Weekly Lab Payment"/>
  </r>
  <r>
    <d v="2025-09-20T00:00:00"/>
    <x v="8"/>
    <n v="9750"/>
    <s v="Fitter lab payment Ramesh"/>
  </r>
  <r>
    <d v="2025-09-20T00:00:00"/>
    <x v="9"/>
    <n v="1200"/>
    <s v="Labour Tea"/>
  </r>
  <r>
    <d v="2025-09-21T00:00:00"/>
    <x v="3"/>
    <n v="500"/>
    <s v="Genset Petrol"/>
  </r>
  <r>
    <d v="2025-09-22T00:00:00"/>
    <x v="11"/>
    <n v="14000"/>
    <s v="Column Concrete and PCC two Sites"/>
  </r>
  <r>
    <d v="2025-09-22T00:00:00"/>
    <x v="1"/>
    <n v="450"/>
    <s v="Sara Kairu"/>
  </r>
  <r>
    <d v="2025-09-22T00:00:00"/>
    <x v="3"/>
    <n v="500"/>
    <s v="Petrol Genset"/>
  </r>
  <r>
    <d v="2025-09-22T00:00:00"/>
    <x v="12"/>
    <n v="5500"/>
    <s v="Column Box Rent"/>
  </r>
  <r>
    <d v="2025-09-23T00:00:00"/>
    <x v="3"/>
    <n v="500"/>
    <s v="Genset Petrol"/>
  </r>
  <r>
    <d v="2025-09-23T00:00:00"/>
    <x v="1"/>
    <n v="100"/>
    <s v="Simaru paid cash to Ramesh"/>
  </r>
  <r>
    <d v="2025-09-23T00:00:00"/>
    <x v="8"/>
    <n v="350"/>
    <s v="Kannan Extra Lab"/>
  </r>
  <r>
    <d v="2025-09-24T00:00:00"/>
    <x v="1"/>
    <n v="2000"/>
    <s v="Elevation Design Amount Adv"/>
  </r>
  <r>
    <d v="2025-09-24T00:00:00"/>
    <x v="0"/>
    <n v="385"/>
    <s v="Mason Gloves 3 Set"/>
  </r>
  <r>
    <d v="2025-09-24T00:00:00"/>
    <x v="3"/>
    <n v="500"/>
    <s v="Petrol Genset"/>
  </r>
  <r>
    <d v="2025-09-24T00:00:00"/>
    <x v="7"/>
    <n v="10000"/>
    <s v="Mani Mason Advance"/>
  </r>
  <r>
    <d v="2025-09-25T00:00:00"/>
    <x v="3"/>
    <n v="500"/>
    <s v="Petrol Genset"/>
  </r>
  <r>
    <d v="2025-09-25T00:00:00"/>
    <x v="5"/>
    <n v="150000"/>
    <s v="RSK Payment"/>
  </r>
  <r>
    <d v="2025-09-25T00:00:00"/>
    <x v="16"/>
    <n v="200000"/>
    <s v="Transferred to SK site"/>
  </r>
  <r>
    <d v="2025-09-26T00:00:00"/>
    <x v="3"/>
    <n v="500"/>
    <s v="Genset Petrol"/>
  </r>
  <r>
    <d v="2025-09-26T00:00:00"/>
    <x v="5"/>
    <n v="72000"/>
    <s v="Flyash Bricks 10K nos"/>
  </r>
  <r>
    <d v="2025-09-27T00:00:00"/>
    <x v="3"/>
    <n v="500"/>
    <s v="Genset Petrol"/>
  </r>
  <r>
    <d v="2025-09-27T00:00:00"/>
    <x v="5"/>
    <n v="12800"/>
    <s v="Cement Part Payment"/>
  </r>
  <r>
    <d v="2025-09-27T00:00:00"/>
    <x v="7"/>
    <n v="42150"/>
    <s v="Mason Weekly Labour"/>
  </r>
  <r>
    <d v="2025-09-27T00:00:00"/>
    <x v="3"/>
    <n v="500"/>
    <s v="Genset Petrol"/>
  </r>
  <r>
    <d v="2025-09-28T00:00:00"/>
    <x v="9"/>
    <n v="800"/>
    <s v="Labour Tea"/>
  </r>
  <r>
    <d v="2025-09-29T00:00:00"/>
    <x v="3"/>
    <n v="500"/>
    <s v="Genset Petrol"/>
  </r>
  <r>
    <d v="2025-09-29T00:00:00"/>
    <x v="15"/>
    <n v="200"/>
    <s v="Prasanth Vehicle Petrol"/>
  </r>
  <r>
    <d v="2025-09-30T00:00:00"/>
    <x v="6"/>
    <n v="550"/>
    <s v="Material Shifting Porter"/>
  </r>
  <r>
    <d v="2025-09-30T00:00:00"/>
    <x v="3"/>
    <n v="500"/>
    <s v="Genset Petrol"/>
  </r>
  <r>
    <d v="2025-10-01T00:00:00"/>
    <x v="3"/>
    <n v="500"/>
    <s v="Genset Petrol"/>
  </r>
  <r>
    <d v="2025-10-01T00:00:00"/>
    <x v="15"/>
    <n v="100"/>
    <s v="Vehicle Petrol Ramesh"/>
  </r>
  <r>
    <d v="2025-10-01T00:00:00"/>
    <x v="1"/>
    <n v="500"/>
    <s v="Ayudha Pooja Labour"/>
  </r>
  <r>
    <d v="2025-10-01T00:00:00"/>
    <x v="7"/>
    <n v="10000"/>
    <s v="Mason Labour Advance"/>
  </r>
  <r>
    <d v="2025-10-02T00:00:00"/>
    <x v="3"/>
    <n v="500"/>
    <s v="Genset Petrol"/>
  </r>
  <r>
    <d v="2025-10-03T00:00:00"/>
    <x v="3"/>
    <n v="500"/>
    <s v="Genset Petrol"/>
  </r>
  <r>
    <d v="2025-10-04T00:00:00"/>
    <x v="15"/>
    <n v="750"/>
    <s v="Vehicle Petrol Ramesh"/>
  </r>
  <r>
    <d v="2025-10-04T00:00:00"/>
    <x v="1"/>
    <n v="130"/>
    <s v="Puncture two wheeler"/>
  </r>
  <r>
    <d v="2025-10-04T00:00:00"/>
    <x v="5"/>
    <n v="22400"/>
    <s v="Cement Old Balance"/>
  </r>
  <r>
    <d v="2025-10-04T00:00:00"/>
    <x v="7"/>
    <n v="35000"/>
    <s v="Weekly Lab Payment Mani"/>
  </r>
  <r>
    <d v="2025-10-04T00:00:00"/>
    <x v="8"/>
    <n v="20800"/>
    <s v="Fitter lab payment Ramesh"/>
  </r>
  <r>
    <d v="2025-10-07T00:00:00"/>
    <x v="3"/>
    <n v="1500"/>
    <s v="3 days Petrol Genset"/>
  </r>
  <r>
    <d v="2025-10-07T00:00:00"/>
    <x v="9"/>
    <n v="1000"/>
    <s v="Labour Tea Weekly Payment"/>
  </r>
  <r>
    <d v="2025-10-07T00:00:00"/>
    <x v="7"/>
    <n v="2500"/>
    <s v="Labour Pending amount"/>
  </r>
  <r>
    <d v="2025-10-07T00:00:00"/>
    <x v="8"/>
    <n v="100"/>
    <s v="Kannan Extra Lab"/>
  </r>
  <r>
    <d v="2025-10-07T00:00:00"/>
    <x v="16"/>
    <n v="100000"/>
    <s v="Cash Transfer to SK site"/>
  </r>
  <r>
    <d v="2025-10-07T00:00:00"/>
    <x v="17"/>
    <n v="100000"/>
    <s v="Cash Transfer to Gsquare"/>
  </r>
  <r>
    <d v="2025-10-08T00:00:00"/>
    <x v="6"/>
    <n v="800"/>
    <s v="Porter Maram Palagai"/>
  </r>
  <r>
    <d v="2025-10-08T00:00:00"/>
    <x v="3"/>
    <n v="500"/>
    <s v="Petrol Genset"/>
  </r>
  <r>
    <d v="2025-10-08T00:00:00"/>
    <x v="2"/>
    <n v="880"/>
    <s v="Nails 3 kg each"/>
  </r>
  <r>
    <d v="2025-10-08T00:00:00"/>
    <x v="7"/>
    <n v="5000"/>
    <s v="Mani Mason Advance Cash"/>
  </r>
  <r>
    <d v="2025-10-08T00:00:00"/>
    <x v="8"/>
    <n v="12000"/>
    <s v="Ramesh Fitter Adv Cash"/>
  </r>
  <r>
    <d v="2025-10-09T00:00:00"/>
    <x v="3"/>
    <n v="500"/>
    <s v="Petrol Genset"/>
  </r>
  <r>
    <d v="2025-10-10T00:00:00"/>
    <x v="2"/>
    <n v="640"/>
    <s v="Nails"/>
  </r>
  <r>
    <d v="2025-10-10T00:00:00"/>
    <x v="15"/>
    <n v="700"/>
    <s v="2 times to Happy Town"/>
  </r>
  <r>
    <d v="2025-10-10T00:00:00"/>
    <x v="6"/>
    <n v="500"/>
    <s v="Materials Shifting "/>
  </r>
  <r>
    <d v="2025-10-10T00:00:00"/>
    <x v="3"/>
    <n v="500"/>
    <s v="Genset Petrol"/>
  </r>
  <r>
    <d v="2025-10-11T00:00:00"/>
    <x v="5"/>
    <n v="100000"/>
    <s v="RSK Payment"/>
  </r>
  <r>
    <d v="2025-10-11T00:00:00"/>
    <x v="5"/>
    <n v="171800"/>
    <s v="AK Steels Payment"/>
  </r>
  <r>
    <d v="2025-10-11T00:00:00"/>
    <x v="3"/>
    <n v="500"/>
    <s v="Petrol Genset"/>
  </r>
  <r>
    <d v="2025-10-11T00:00:00"/>
    <x v="12"/>
    <n v="7000"/>
    <s v="Roof sheet advance"/>
  </r>
  <r>
    <d v="2025-10-11T00:00:00"/>
    <x v="7"/>
    <n v="49900"/>
    <s v="Mani lab payment"/>
  </r>
  <r>
    <d v="2025-10-11T00:00:00"/>
    <x v="8"/>
    <n v="15750"/>
    <s v="Fitter lab payment Ramesh"/>
  </r>
  <r>
    <d v="2025-10-11T00:00:00"/>
    <x v="5"/>
    <n v="14750"/>
    <s v="Palani Murugan Cement Payment"/>
  </r>
  <r>
    <d v="2025-10-12T00:00:00"/>
    <x v="3"/>
    <n v="500"/>
    <s v="Genset Petrol"/>
  </r>
  <r>
    <d v="2025-10-12T00:00:00"/>
    <x v="15"/>
    <n v="300"/>
    <s v="Lab bike petrol"/>
  </r>
  <r>
    <d v="2025-10-13T00:00:00"/>
    <x v="3"/>
    <n v="500"/>
    <s v="Genset Petrol"/>
  </r>
  <r>
    <d v="2025-10-13T00:00:00"/>
    <x v="13"/>
    <n v="7200"/>
    <s v="Basement Consolidation"/>
  </r>
  <r>
    <d v="2025-10-13T00:00:00"/>
    <x v="6"/>
    <n v="500"/>
    <s v="Porter Maram Palagai"/>
  </r>
  <r>
    <d v="2025-10-14T00:00:00"/>
    <x v="3"/>
    <n v="500"/>
    <s v="Genset Petrol"/>
  </r>
  <r>
    <d v="2025-10-14T00:00:00"/>
    <x v="9"/>
    <n v="1300"/>
    <s v="Labour Tea"/>
  </r>
  <r>
    <d v="2025-10-14T00:00:00"/>
    <x v="8"/>
    <n v="300"/>
    <s v="Pending Payment"/>
  </r>
  <r>
    <d v="2025-10-15T00:00:00"/>
    <x v="1"/>
    <n v="2000"/>
    <s v="Elevation Design Amount Pending"/>
  </r>
  <r>
    <d v="2025-10-16T00:00:00"/>
    <x v="3"/>
    <n v="500"/>
    <s v="Genset Petrol"/>
  </r>
  <r>
    <d v="2025-10-16T00:00:00"/>
    <x v="1"/>
    <n v="200"/>
    <s v="Concrete Pooja"/>
  </r>
  <r>
    <d v="2025-10-16T00:00:00"/>
    <x v="9"/>
    <n v="100"/>
    <s v="Tea Tamil Karthi"/>
  </r>
  <r>
    <d v="2025-10-16T00:00:00"/>
    <x v="10"/>
    <n v="500"/>
    <s v="Roof concrete Diesel"/>
  </r>
  <r>
    <d v="2025-10-16T00:00:00"/>
    <x v="11"/>
    <n v="600"/>
    <s v="Lunch for Labours"/>
  </r>
  <r>
    <d v="2025-10-17T00:00:00"/>
    <x v="18"/>
    <n v="4000"/>
    <s v="GF Roof Pipe Concrete"/>
  </r>
  <r>
    <d v="2025-10-17T00:00:00"/>
    <x v="7"/>
    <n v="30850"/>
    <s v="Mani lab payment"/>
  </r>
  <r>
    <d v="2025-10-17T00:00:00"/>
    <x v="8"/>
    <n v="39450"/>
    <s v="Ramesh Fitter Payment"/>
  </r>
  <r>
    <d v="2025-10-17T00:00:00"/>
    <x v="8"/>
    <n v="1200"/>
    <s v="Kannan and Honest Extra"/>
  </r>
  <r>
    <d v="2025-10-17T00:00:00"/>
    <x v="11"/>
    <n v="15000"/>
    <s v="Roof Concrete Amount GF"/>
  </r>
  <r>
    <d v="2025-10-17T00:00:00"/>
    <x v="8"/>
    <n v="600"/>
    <s v="Kannan Honest Extra pending"/>
  </r>
  <r>
    <d v="2025-10-18T00:00:00"/>
    <x v="9"/>
    <n v="1100"/>
    <s v="Labour Tea Weekly Payment"/>
  </r>
  <r>
    <d v="2025-10-18T00:00:00"/>
    <x v="19"/>
    <n v="9800"/>
    <s v="Roof Concrete Pipe materials"/>
  </r>
  <r>
    <d v="2025-10-25T00:00:00"/>
    <x v="5"/>
    <n v="50000"/>
    <s v="Rsk Part Payment"/>
  </r>
  <r>
    <d v="2025-10-25T00:00:00"/>
    <x v="5"/>
    <n v="27775"/>
    <s v="Cement Pending Payment"/>
  </r>
  <r>
    <d v="2025-10-27T00:00:00"/>
    <x v="12"/>
    <n v="4500"/>
    <s v="Roof conc jackey adv"/>
  </r>
  <r>
    <d v="2012-10-29T00:00:00"/>
    <x v="15"/>
    <n v="380"/>
    <m/>
  </r>
  <r>
    <d v="2025-11-01T00:00:00"/>
    <x v="2"/>
    <n v="900"/>
    <s v="Nails 760 roof"/>
  </r>
  <r>
    <d v="2025-11-01T00:00:00"/>
    <x v="3"/>
    <n v="500"/>
    <s v="Electrical gaudi petrol"/>
  </r>
  <r>
    <d v="2025-11-01T00:00:00"/>
    <x v="7"/>
    <n v="1900"/>
    <s v="Mani lab payment"/>
  </r>
  <r>
    <d v="2025-11-01T00:00:00"/>
    <x v="8"/>
    <n v="5500"/>
    <s v="FItter lab payment"/>
  </r>
  <r>
    <d v="2025-11-01T00:00:00"/>
    <x v="8"/>
    <n v="250"/>
    <s v="Kannan Extra Lab"/>
  </r>
  <r>
    <d v="2025-11-03T00:00:00"/>
    <x v="3"/>
    <n v="500"/>
    <s v="Electrical gaudi petrol"/>
  </r>
  <r>
    <d v="2025-11-04T00:00:00"/>
    <x v="3"/>
    <n v="500"/>
    <s v="Electrical work petrol"/>
  </r>
  <r>
    <d v="2025-11-05T00:00:00"/>
    <x v="3"/>
    <n v="500"/>
    <s v="Paid to Sathish buying Petrol"/>
  </r>
  <r>
    <d v="2025-11-05T00:00:00"/>
    <x v="7"/>
    <n v="3000"/>
    <s v="Mani Lab Advance"/>
  </r>
  <r>
    <d v="2025-11-05T00:00:00"/>
    <x v="8"/>
    <n v="5000"/>
    <s v="Ramesh Advnce"/>
  </r>
  <r>
    <d v="2025-11-06T00:00:00"/>
    <x v="3"/>
    <n v="500"/>
    <s v="Petrol Genset"/>
  </r>
  <r>
    <d v="2025-11-07T00:00:00"/>
    <x v="3"/>
    <n v="500"/>
    <s v="Petrol Genset"/>
  </r>
  <r>
    <d v="2025-11-07T00:00:00"/>
    <x v="1"/>
    <n v="250"/>
    <s v="Waste oil for roof sheets"/>
  </r>
  <r>
    <d v="2025-11-08T00:00:00"/>
    <x v="7"/>
    <n v="28750"/>
    <s v="Mani lab wekly payment"/>
  </r>
  <r>
    <d v="2025-11-08T00:00:00"/>
    <x v="8"/>
    <n v="19700"/>
    <s v="Ramesh fitter payment"/>
  </r>
  <r>
    <d v="2025-11-08T00:00:00"/>
    <x v="18"/>
    <n v="7000"/>
    <s v="GF Gaudi and pipe laying work"/>
  </r>
  <r>
    <d v="2025-11-08T00:00:00"/>
    <x v="5"/>
    <n v="50000"/>
    <s v="Rsk Part Payment"/>
  </r>
  <r>
    <d v="2025-11-08T00:00:00"/>
    <x v="8"/>
    <n v="300"/>
    <s v="Honest extra"/>
  </r>
  <r>
    <d v="2025-11-08T00:00:00"/>
    <x v="9"/>
    <n v="2200"/>
    <s v="Weekly Lab Tea 2 weeks"/>
  </r>
  <r>
    <d v="2025-11-11T00:00:00"/>
    <x v="3"/>
    <n v="1000"/>
    <s v="Genset Petrol"/>
  </r>
  <r>
    <d v="2025-11-11T00:00:00"/>
    <x v="15"/>
    <n v="100"/>
    <s v="Vehicle Petrol"/>
  </r>
  <r>
    <d v="2025-11-11T00:00:00"/>
    <x v="10"/>
    <n v="500"/>
    <s v="Roof concrete Diesel"/>
  </r>
  <r>
    <d v="2025-11-11T00:00:00"/>
    <x v="1"/>
    <n v="250"/>
    <s v="Pooja Items"/>
  </r>
  <r>
    <d v="2025-11-12T00:00:00"/>
    <x v="3"/>
    <n v="500"/>
    <s v="Petrol Genset"/>
  </r>
  <r>
    <d v="2025-11-12T00:00:00"/>
    <x v="7"/>
    <n v="4000"/>
    <s v="Mason Advance Rajkumar"/>
  </r>
  <r>
    <d v="2025-11-14T00:00:00"/>
    <x v="3"/>
    <n v="500"/>
    <s v="Genset Petrol"/>
  </r>
  <r>
    <d v="2025-11-15T00:00:00"/>
    <x v="8"/>
    <n v="19500"/>
    <s v="Fitter Payment for Roof"/>
  </r>
  <r>
    <d v="2025-11-15T00:00:00"/>
    <x v="3"/>
    <n v="500"/>
    <s v="Genset Petrol"/>
  </r>
  <r>
    <d v="2025-11-15T00:00:00"/>
    <x v="18"/>
    <n v="4000"/>
    <s v="Roof Pipe for Concrete"/>
  </r>
  <r>
    <d v="2025-11-15T00:00:00"/>
    <x v="7"/>
    <n v="33600"/>
    <s v="Weekly Labour Payment "/>
  </r>
  <r>
    <d v="2025-11-15T00:00:00"/>
    <x v="5"/>
    <n v="33630"/>
    <s v="Roof Steel Amount"/>
  </r>
  <r>
    <d v="2025-11-15T00:00:00"/>
    <x v="11"/>
    <n v="15000"/>
    <s v="Roof Concrete Amount GF"/>
  </r>
  <r>
    <d v="2025-11-16T00:00:00"/>
    <x v="3"/>
    <n v="500"/>
    <s v="Petrol Genset"/>
  </r>
  <r>
    <d v="2025-11-17T00:00:00"/>
    <x v="8"/>
    <n v="250"/>
    <s v="Honest extra"/>
  </r>
  <r>
    <d v="2025-11-17T00:00:00"/>
    <x v="3"/>
    <n v="500"/>
    <s v="Genset Petrol"/>
  </r>
  <r>
    <d v="2025-11-18T00:00:00"/>
    <x v="0"/>
    <n v="100"/>
    <s v="Uli 2 nos"/>
  </r>
  <r>
    <d v="2025-11-19T00:00:00"/>
    <x v="7"/>
    <n v="5000"/>
    <s v="Prasanth Mason Adv"/>
  </r>
  <r>
    <d v="2025-11-22T00:00:00"/>
    <x v="7"/>
    <n v="43650"/>
    <s v="Prasanth Lab Payment"/>
  </r>
  <r>
    <d v="2025-11-22T00:00:00"/>
    <x v="3"/>
    <n v="1000"/>
    <s v="Genset Petrol"/>
  </r>
  <r>
    <d v="2025-11-24T00:00:00"/>
    <x v="0"/>
    <n v="500"/>
    <s v="Chicken Mesh"/>
  </r>
  <r>
    <d v="2025-11-25T00:00:00"/>
    <x v="6"/>
    <n v="500"/>
    <s v="Porter Maram to Gsquare"/>
  </r>
  <r>
    <d v="2025-11-26T00:00:00"/>
    <x v="3"/>
    <n v="500"/>
    <s v="Petrol Genset"/>
  </r>
  <r>
    <d v="2025-11-26T00:00:00"/>
    <x v="0"/>
    <n v="270"/>
    <s v="Sponge"/>
  </r>
  <r>
    <d v="2025-11-26T00:00:00"/>
    <x v="7"/>
    <n v="5000"/>
    <s v="Labour Advance"/>
  </r>
  <r>
    <d v="2025-11-26T00:00:00"/>
    <x v="9"/>
    <n v="2000"/>
    <s v="Weekly Lab Tea 2 weeks"/>
  </r>
  <r>
    <d v="2025-11-29T00:00:00"/>
    <x v="7"/>
    <n v="12200"/>
    <s v="Prasanth Mason Labour"/>
  </r>
  <r>
    <d v="2025-11-29T00:00:00"/>
    <x v="8"/>
    <n v="13300"/>
    <s v="Ramesh Fitter Labour"/>
  </r>
  <r>
    <d v="2025-11-29T00:00:00"/>
    <x v="8"/>
    <n v="400"/>
    <s v="Kannan Extra Lab"/>
  </r>
  <r>
    <d v="2025-12-02T00:00:00"/>
    <x v="3"/>
    <n v="500"/>
    <s v="Petrol Genset"/>
  </r>
  <r>
    <d v="2025-12-05T00:00:00"/>
    <x v="3"/>
    <n v="1500"/>
    <s v="Petrol Genset 3 days"/>
  </r>
  <r>
    <d v="2025-12-06T00:00:00"/>
    <x v="7"/>
    <n v="40950"/>
    <s v="Mani mason labour"/>
  </r>
  <r>
    <d v="2025-12-06T00:00:00"/>
    <x v="8"/>
    <n v="5000"/>
    <s v="Ramesh fitter labour"/>
  </r>
  <r>
    <d v="2025-12-06T00:00:00"/>
    <x v="5"/>
    <n v="50000"/>
    <s v="RSK Pending Part Payment"/>
  </r>
  <r>
    <d v="2025-12-06T00:00:00"/>
    <x v="5"/>
    <n v="50000"/>
    <s v="Palani Murugan Cement Payment"/>
  </r>
  <r>
    <d v="2025-12-06T00:00:00"/>
    <x v="20"/>
    <n v="20000"/>
    <s v="Grill Advance"/>
  </r>
  <r>
    <d v="2025-12-06T00:00:00"/>
    <x v="21"/>
    <n v="10000"/>
    <s v="Pile advance"/>
  </r>
  <r>
    <d v="2025-12-09T00:00:00"/>
    <x v="3"/>
    <n v="500"/>
    <s v="Petrol Genset"/>
  </r>
  <r>
    <d v="2025-12-09T00:00:00"/>
    <x v="12"/>
    <n v="10000"/>
    <s v="Roof sheet Pending Amt"/>
  </r>
  <r>
    <d v="2025-12-10T00:00:00"/>
    <x v="9"/>
    <n v="90"/>
    <s v="Tamil Karthi"/>
  </r>
  <r>
    <d v="2025-12-10T00:00:00"/>
    <x v="7"/>
    <n v="5000"/>
    <s v="Mason Labour Advance Mani"/>
  </r>
  <r>
    <d v="2025-12-10T00:00:00"/>
    <x v="3"/>
    <n v="1500"/>
    <s v="Petrol Genset"/>
  </r>
  <r>
    <d v="2025-12-10T00:00:00"/>
    <x v="0"/>
    <n v="250"/>
    <s v="Chicken Mesh"/>
  </r>
  <r>
    <d v="2025-12-10T00:00:00"/>
    <x v="2"/>
    <n v="75"/>
    <s v="Blade"/>
  </r>
  <r>
    <d v="2025-12-10T00:00:00"/>
    <x v="8"/>
    <n v="7000"/>
    <m/>
  </r>
  <r>
    <d v="2025-12-11T00:00:00"/>
    <x v="3"/>
    <n v="500"/>
    <s v="Petrol Genset"/>
  </r>
  <r>
    <d v="2025-12-11T00:00:00"/>
    <x v="9"/>
    <n v="1500"/>
    <s v="Pending lab tea Expenses"/>
  </r>
  <r>
    <d v="2025-12-13T00:00:00"/>
    <x v="3"/>
    <n v="500"/>
    <s v="Genset Petrol"/>
  </r>
  <r>
    <d v="2025-12-13T00:00:00"/>
    <x v="3"/>
    <n v="500"/>
    <s v="Genset Petrol Electrician"/>
  </r>
  <r>
    <d v="2025-12-13T00:00:00"/>
    <x v="18"/>
    <n v="3000"/>
    <s v="Gaudi work GF"/>
  </r>
  <r>
    <d v="2025-12-13T00:00:00"/>
    <x v="8"/>
    <n v="200"/>
    <s v="Kannan Extra Lab last week"/>
  </r>
  <r>
    <d v="2025-12-13T00:00:00"/>
    <x v="7"/>
    <n v="41150"/>
    <s v="Mani labour payment"/>
  </r>
  <r>
    <d v="2025-12-13T00:00:00"/>
    <x v="21"/>
    <n v="30000"/>
    <s v="Compound wall pile work "/>
  </r>
  <r>
    <d v="2025-12-13T00:00:00"/>
    <x v="8"/>
    <n v="350"/>
    <s v="Ramesh last week pending"/>
  </r>
  <r>
    <d v="2025-12-15T00:00:00"/>
    <x v="3"/>
    <n v="600"/>
    <s v="Genset Petrol"/>
  </r>
  <r>
    <d v="2025-12-16T00:00:00"/>
    <x v="3"/>
    <n v="500"/>
    <s v="Genset Petrol"/>
  </r>
  <r>
    <d v="2025-12-17T00:00:00"/>
    <x v="3"/>
    <n v="500"/>
    <s v="Genset Petrol"/>
  </r>
  <r>
    <d v="2025-12-17T00:00:00"/>
    <x v="7"/>
    <n v="10000"/>
    <s v="Mani mason advance"/>
  </r>
  <r>
    <d v="2025-12-18T00:00:00"/>
    <x v="3"/>
    <n v="500"/>
    <s v="Genset Petrol"/>
  </r>
  <r>
    <d v="2025-12-18T00:00:00"/>
    <x v="0"/>
    <n v="450"/>
    <s v="Sara Kairu"/>
  </r>
  <r>
    <d v="2025-12-20T00:00:00"/>
    <x v="7"/>
    <n v="22800"/>
    <s v="Mani mason payment"/>
  </r>
  <r>
    <d v="2025-12-20T00:00:00"/>
    <x v="8"/>
    <n v="2000"/>
    <s v="Fitter lab payment column covering"/>
  </r>
  <r>
    <d v="2025-12-20T00:00:00"/>
    <x v="18"/>
    <n v="8000"/>
    <s v="Gaudi work GF"/>
  </r>
  <r>
    <d v="2025-12-20T00:00:00"/>
    <x v="5"/>
    <n v="50000"/>
    <s v="Rsk Part Payment"/>
  </r>
  <r>
    <d v="2025-12-20T00:00:00"/>
    <x v="3"/>
    <n v="500"/>
    <s v="Petrol Genset"/>
  </r>
  <r>
    <d v="2025-12-22T00:00:00"/>
    <x v="15"/>
    <n v="200"/>
    <s v="Petrol for vehicle"/>
  </r>
  <r>
    <d v="2025-12-22T00:00:00"/>
    <x v="3"/>
    <n v="1000"/>
    <s v="two days petrol am"/>
  </r>
  <r>
    <d v="2025-12-25T00:00:00"/>
    <x v="3"/>
    <n v="500"/>
    <s v="Genset Petrol"/>
  </r>
  <r>
    <d v="2025-12-25T00:00:00"/>
    <x v="7"/>
    <n v="5000"/>
    <s v="Mani Mason Advance"/>
  </r>
  <r>
    <d v="2025-12-25T00:00:00"/>
    <x v="0"/>
    <n v="130"/>
    <s v="Blade cutting machine dryer"/>
  </r>
  <r>
    <d v="2025-12-26T00:00:00"/>
    <x v="3"/>
    <n v="500"/>
    <s v="Petrol Genset"/>
  </r>
  <r>
    <d v="2025-12-27T00:00:00"/>
    <x v="20"/>
    <n v="15000"/>
    <s v="Grill pending work"/>
  </r>
  <r>
    <d v="2025-12-27T00:00:00"/>
    <x v="7"/>
    <n v="39000"/>
    <s v="Mason Mani Lab Payment"/>
  </r>
  <r>
    <d v="2025-12-27T00:00:00"/>
    <x v="3"/>
    <n v="500"/>
    <s v="Petrol Genset"/>
  </r>
  <r>
    <d v="2025-12-29T00:00:00"/>
    <x v="5"/>
    <n v="15000"/>
    <s v="Cement Part Payment"/>
  </r>
  <r>
    <d v="2025-12-29T00:00:00"/>
    <x v="9"/>
    <n v="2000"/>
    <s v="Tea Weekly pending amt"/>
  </r>
  <r>
    <d v="2025-12-30T00:00:00"/>
    <x v="3"/>
    <n v="500"/>
    <s v="Genset Petrol"/>
  </r>
  <r>
    <d v="2026-01-01T00:00:00"/>
    <x v="3"/>
    <n v="500"/>
    <s v="Petro for Genset"/>
  </r>
  <r>
    <d v="2026-01-03T00:00:00"/>
    <x v="3"/>
    <n v="500"/>
    <s v="Petrol for Genset"/>
  </r>
  <r>
    <d v="2026-01-03T00:00:00"/>
    <x v="7"/>
    <n v="21050"/>
    <s v="Weeekly Lab Payment"/>
  </r>
  <r>
    <d v="2026-01-03T00:00:00"/>
    <x v="18"/>
    <n v="2000"/>
    <s v="Electrician Payment "/>
  </r>
  <r>
    <d v="2026-01-04T00:00:00"/>
    <x v="3"/>
    <n v="500"/>
    <s v="Petrol Genset"/>
  </r>
  <r>
    <d v="2026-01-06T00:00:00"/>
    <x v="22"/>
    <n v="3000"/>
    <s v="Nilavu Advance"/>
  </r>
  <r>
    <d v="2026-01-07T00:00:00"/>
    <x v="0"/>
    <n v="560"/>
    <s v="Sponge Blade"/>
  </r>
  <r>
    <d v="2026-01-07T00:00:00"/>
    <x v="7"/>
    <n v="4000"/>
    <s v="Kumar mason Adv"/>
  </r>
  <r>
    <d v="2026-01-07T00:00:00"/>
    <x v="3"/>
    <n v="500"/>
    <s v="Genset Petrol"/>
  </r>
  <r>
    <d v="2026-01-07T00:00:00"/>
    <x v="3"/>
    <n v="500"/>
    <s v="Genset Petrol"/>
  </r>
  <r>
    <d v="2026-01-09T00:00:00"/>
    <x v="3"/>
    <n v="500"/>
    <s v="Genset Petrol"/>
  </r>
  <r>
    <d v="2026-01-10T00:00:00"/>
    <x v="7"/>
    <n v="25550"/>
    <s v="Mason Labour Kumar"/>
  </r>
  <r>
    <d v="2026-01-10T00:00:00"/>
    <x v="18"/>
    <n v="4000"/>
    <s v="Plumbing Work"/>
  </r>
  <r>
    <d v="2026-01-10T00:00:00"/>
    <x v="5"/>
    <n v="31850"/>
    <s v="Cement Part Payment"/>
  </r>
  <r>
    <d v="2026-01-10T00:00:00"/>
    <x v="5"/>
    <n v="38950"/>
    <s v="Solid block Flyash"/>
  </r>
  <r>
    <d v="2026-01-11T00:00:00"/>
    <x v="3"/>
    <n v="500"/>
    <s v="Genset petrol"/>
  </r>
  <r>
    <d v="2026-01-12T00:00:00"/>
    <x v="3"/>
    <n v="500"/>
    <s v="Genset Petrol"/>
  </r>
  <r>
    <d v="2026-01-12T00:00:00"/>
    <x v="9"/>
    <n v="1200"/>
    <s v="Lab tea pending two weeks"/>
  </r>
  <r>
    <d v="2026-01-13T00:00:00"/>
    <x v="22"/>
    <n v="9000"/>
    <s v="Nilavu Advance"/>
  </r>
  <r>
    <d v="2026-01-14T00:00:00"/>
    <x v="22"/>
    <n v="34000"/>
    <s v="Nilavu Balance 32500+1500 transport"/>
  </r>
  <r>
    <d v="2026-01-14T00:00:00"/>
    <x v="7"/>
    <n v="4000"/>
    <s v="Mason Adv Kumar"/>
  </r>
  <r>
    <d v="2026-01-14T00:00:00"/>
    <x v="23"/>
    <n v="3000"/>
    <s v="Painter adv"/>
  </r>
  <r>
    <d v="2026-01-14T00:00:00"/>
    <x v="24"/>
    <n v="1000"/>
    <s v="Painter for Primer White Cement"/>
  </r>
  <r>
    <d v="2026-01-18T00:00:00"/>
    <x v="7"/>
    <n v="500"/>
    <s v="Pongal amount"/>
  </r>
  <r>
    <d v="2026-01-18T00:00:00"/>
    <x v="3"/>
    <n v="500"/>
    <s v="Genset Petrol"/>
  </r>
  <r>
    <d v="2026-01-19T00:00:00"/>
    <x v="7"/>
    <n v="4400"/>
    <s v="Mason lab amt part payment"/>
  </r>
  <r>
    <d v="2026-01-19T00:00:00"/>
    <x v="1"/>
    <n v="250"/>
    <s v="Allu piece clamp for nilavu"/>
  </r>
  <r>
    <d v="2026-01-20T00:00:00"/>
    <x v="7"/>
    <n v="20000"/>
    <s v="Pending Lab amt Kumar"/>
  </r>
  <r>
    <d v="2026-01-21T00:00:00"/>
    <x v="23"/>
    <n v="3000"/>
    <s v="Painter Adv"/>
  </r>
  <r>
    <d v="2026-01-22T00:00:00"/>
    <x v="3"/>
    <n v="1000"/>
    <s v="Genset Petrol two bills"/>
  </r>
  <r>
    <d v="2026-01-22T00:00:00"/>
    <x v="7"/>
    <n v="2000"/>
    <s v="Mason Adv Kumar"/>
  </r>
  <r>
    <d v="2026-01-24T00:00:00"/>
    <x v="7"/>
    <n v="30300"/>
    <s v="Kumar Mason Lab"/>
  </r>
  <r>
    <d v="2026-01-24T00:00:00"/>
    <x v="18"/>
    <n v="7000"/>
    <s v="Plumbing Work Selvam"/>
  </r>
  <r>
    <d v="2026-01-24T00:00:00"/>
    <x v="23"/>
    <n v="5000"/>
    <s v="Painting lab row house"/>
  </r>
  <r>
    <d v="2026-01-24T00:00:00"/>
    <x v="24"/>
    <n v="500"/>
    <s v="Painter wood primer"/>
  </r>
  <r>
    <d v="2026-01-25T00:00:00"/>
    <x v="3"/>
    <n v="500"/>
    <s v="Petrol Genset"/>
  </r>
  <r>
    <d v="2026-01-27T00:00:00"/>
    <x v="3"/>
    <n v="500"/>
    <s v="Sunday Petrol Amount"/>
  </r>
  <r>
    <d v="2026-01-27T00:00:00"/>
    <x v="3"/>
    <n v="500"/>
    <s v="Petrol Advance"/>
  </r>
  <r>
    <d v="2026-01-27T00:00:00"/>
    <x v="0"/>
    <n v="500"/>
    <s v="Mesh purchase"/>
  </r>
  <r>
    <d v="2026-01-29T00:00:00"/>
    <x v="24"/>
    <n v="630"/>
    <s v="Putty Bag 1 nos"/>
  </r>
  <r>
    <d v="2026-01-29T00:00:00"/>
    <x v="23"/>
    <n v="2000"/>
    <s v="Lab adv"/>
  </r>
  <r>
    <d v="2026-01-29T00:00:00"/>
    <x v="7"/>
    <n v="2000"/>
    <s v="Lab adv"/>
  </r>
  <r>
    <d v="2026-01-30T00:00:00"/>
    <x v="9"/>
    <n v="80"/>
    <s v="Tamil Karthi"/>
  </r>
  <r>
    <d v="2026-01-30T00:00:00"/>
    <x v="3"/>
    <n v="500"/>
    <s v="Genset Petrol"/>
  </r>
  <r>
    <d v="2026-01-31T00:00:00"/>
    <x v="7"/>
    <n v="36100"/>
    <s v="Mani lab payment"/>
  </r>
  <r>
    <d v="2026-01-31T00:00:00"/>
    <x v="18"/>
    <n v="2000"/>
    <s v="Selvam Lab paymeny"/>
  </r>
  <r>
    <d v="2026-01-31T00:00:00"/>
    <x v="23"/>
    <n v="12000"/>
    <s v="Painter lab paymenyt"/>
  </r>
  <r>
    <d v="2026-01-31T00:00:00"/>
    <x v="20"/>
    <n v="20000"/>
    <s v="Vishnu grill payment"/>
  </r>
  <r>
    <d v="2026-01-31T00:00:00"/>
    <x v="19"/>
    <n v="30000"/>
    <s v="Ramdev hardwares part payment"/>
  </r>
  <r>
    <d v="2026-02-02T00:00:00"/>
    <x v="9"/>
    <n v="1000"/>
    <s v="Lab tea Vendor"/>
  </r>
  <r>
    <d v="2026-02-02T00:00:00"/>
    <x v="3"/>
    <n v="500"/>
    <s v="Genset Petrol"/>
  </r>
  <r>
    <d v="2026-02-02T00:00:00"/>
    <x v="9"/>
    <n v="40"/>
    <s v="Tamil Karthi"/>
  </r>
  <r>
    <d v="2026-02-03T00:00:00"/>
    <x v="5"/>
    <n v="50000"/>
    <s v="Rsk Part Payment"/>
  </r>
  <r>
    <d v="2026-02-03T00:00:00"/>
    <x v="3"/>
    <n v="500"/>
    <s v="Genset Petrol"/>
  </r>
  <r>
    <d v="2026-02-05T00:00:00"/>
    <x v="7"/>
    <n v="5000"/>
    <s v="Mason adv Kumar"/>
  </r>
  <r>
    <d v="2026-02-07T00:00:00"/>
    <x v="7"/>
    <n v="44550"/>
    <s v="Mason Lab Payment"/>
  </r>
  <r>
    <d v="2026-02-07T00:00:00"/>
    <x v="3"/>
    <n v="1000"/>
    <s v="Genset Petrol"/>
  </r>
  <r>
    <d v="2026-02-07T00:00:00"/>
    <x v="0"/>
    <n v="100"/>
    <s v="Uli 2 nos"/>
  </r>
  <r>
    <d v="2026-02-07T00:00:00"/>
    <x v="23"/>
    <n v="3000"/>
    <s v="Painter adv"/>
  </r>
  <r>
    <d v="2026-02-07T00:00:00"/>
    <x v="20"/>
    <n v="10000"/>
    <s v="Grill pending amt"/>
  </r>
  <r>
    <d v="2026-02-07T00:00:00"/>
    <x v="5"/>
    <n v="100000"/>
    <s v="Rsk Part Payment"/>
  </r>
  <r>
    <d v="2026-02-09T00:00:00"/>
    <x v="3"/>
    <n v="500"/>
    <s v="Petrol Genset"/>
  </r>
  <r>
    <d v="2026-02-12T00:00:00"/>
    <x v="3"/>
    <n v="1000"/>
    <s v="Genset Petrol"/>
  </r>
  <r>
    <d v="2026-02-12T00:00:00"/>
    <x v="7"/>
    <n v="5000"/>
    <s v="Mason Adv Kumar"/>
  </r>
  <r>
    <d v="2026-02-12T00:00:00"/>
    <x v="1"/>
    <n v="110"/>
    <s v="Nilavu clamp"/>
  </r>
  <r>
    <d v="2026-02-12T00:00:00"/>
    <x v="1"/>
    <n v="200"/>
    <s v="Pooja for nilavu"/>
  </r>
  <r>
    <d v="2026-02-14T00:00:00"/>
    <x v="7"/>
    <n v="36700"/>
    <s v="Kumar lab payment"/>
  </r>
  <r>
    <d v="2026-02-14T00:00:00"/>
    <x v="23"/>
    <n v="5000"/>
    <s v="Painter lab paymenyt"/>
  </r>
  <r>
    <d v="2026-02-14T00:00:00"/>
    <x v="8"/>
    <n v="5000"/>
    <s v="Compound wall pile work "/>
  </r>
  <r>
    <d v="2026-02-14T00:00:00"/>
    <x v="18"/>
    <n v="2000"/>
    <s v="Selvam Lab payment"/>
  </r>
  <r>
    <d v="2026-02-14T00:00:00"/>
    <x v="5"/>
    <n v="20000"/>
    <s v="Solid block 800 nos part payment"/>
  </r>
  <r>
    <d v="2026-02-14T00:00:00"/>
    <x v="3"/>
    <n v="1000"/>
    <s v="Genset Petrol"/>
  </r>
  <r>
    <d v="2026-02-14T00:00:00"/>
    <x v="5"/>
    <n v="10000"/>
    <s v="NV associates part payment"/>
  </r>
  <r>
    <d v="2026-02-17T00:00:00"/>
    <x v="3"/>
    <n v="500"/>
    <s v="Petrol Genset"/>
  </r>
  <r>
    <d v="2026-02-18T00:00:00"/>
    <x v="3"/>
    <n v="500"/>
    <s v="Petrol Genset"/>
  </r>
  <r>
    <d v="2026-02-19T00:00:00"/>
    <x v="7"/>
    <n v="3000"/>
    <s v="Mason Adv Kumar"/>
  </r>
  <r>
    <d v="2026-02-21T00:00:00"/>
    <x v="3"/>
    <n v="1000"/>
    <s v="Paid to Genset Petrol"/>
  </r>
  <r>
    <d v="2026-02-21T00:00:00"/>
    <x v="15"/>
    <n v="100"/>
    <s v=" Lab vehicle petrol"/>
  </r>
  <r>
    <d v="2026-02-21T00:00:00"/>
    <x v="7"/>
    <n v="47600"/>
    <s v="Kumar mason lab"/>
  </r>
  <r>
    <d v="2026-02-21T00:00:00"/>
    <x v="23"/>
    <n v="5000"/>
    <s v="Lab adv payment"/>
  </r>
  <r>
    <d v="2026-02-21T00:00:00"/>
    <x v="5"/>
    <n v="25000"/>
    <s v="Ramdev hardwares part payment"/>
  </r>
  <r>
    <d v="2026-02-21T00:00:00"/>
    <x v="5"/>
    <n v="30000"/>
    <s v="Palani Murugan Cement Payment"/>
  </r>
  <r>
    <d v="2026-02-21T00:00:00"/>
    <x v="5"/>
    <n v="3750"/>
    <s v="Cement NV Associates"/>
  </r>
  <r>
    <d v="2026-02-21T00:00:00"/>
    <x v="5"/>
    <n v="28000"/>
    <s v="Solid block SV Traders"/>
  </r>
  <r>
    <d v="2026-02-24T00:00:00"/>
    <x v="3"/>
    <n v="500"/>
    <s v="Genset Petrol"/>
  </r>
  <r>
    <d v="2026-02-25T00:00:00"/>
    <x v="9"/>
    <n v="2000"/>
    <s v="Lab Weekly Tea "/>
  </r>
  <r>
    <d v="2026-02-25T00:00:00"/>
    <x v="7"/>
    <n v="1500"/>
    <s v="Kumar Mason Adv"/>
  </r>
  <r>
    <d v="2026-02-28T00:00:00"/>
    <x v="7"/>
    <n v="18150"/>
    <s v="Kumar lab payment"/>
  </r>
  <r>
    <d v="2026-02-28T00:00:00"/>
    <x v="18"/>
    <n v="4000"/>
    <s v="Wire fixing"/>
  </r>
  <r>
    <d v="2026-02-28T00:00:00"/>
    <x v="5"/>
    <n v="50000"/>
    <s v="Ramdev wire part payment"/>
  </r>
  <r>
    <d v="2026-02-28T00:00:00"/>
    <x v="3"/>
    <n v="500"/>
    <s v="Genset Petrol"/>
  </r>
  <r>
    <d v="2026-03-04T00:00:00"/>
    <x v="25"/>
    <n v="75000"/>
    <s v="Purchase for one site"/>
  </r>
  <r>
    <d v="2026-03-04T00:00:00"/>
    <x v="3"/>
    <n v="1000"/>
    <s v="Genset Peteol"/>
  </r>
  <r>
    <d v="2026-03-04T00:00:00"/>
    <x v="7"/>
    <n v="2000"/>
    <s v="Kumar mason Adv"/>
  </r>
  <r>
    <d v="2026-03-06T00:00:00"/>
    <x v="6"/>
    <n v="1100"/>
    <s v="Tiles paste porter"/>
  </r>
  <r>
    <d v="2026-03-07T00:00:00"/>
    <x v="3"/>
    <n v="500"/>
    <s v="Genset Petrol"/>
  </r>
  <r>
    <d v="2026-03-07T00:00:00"/>
    <x v="3"/>
    <n v="1000"/>
    <s v="Kumar Payment"/>
  </r>
  <r>
    <d v="2026-03-07T00:00:00"/>
    <x v="7"/>
    <n v="32100"/>
    <s v="Kumar Mason Payment"/>
  </r>
  <r>
    <d v="2026-03-07T00:00:00"/>
    <x v="18"/>
    <n v="3000"/>
    <s v="Selvam Labour "/>
  </r>
  <r>
    <d v="2026-03-07T00:00:00"/>
    <x v="26"/>
    <n v="5000"/>
    <s v="Tiles lab Advance"/>
  </r>
  <r>
    <d v="2026-03-08T00:00:00"/>
    <x v="3"/>
    <n v="500"/>
    <s v="Genset Petrol"/>
  </r>
  <r>
    <d v="2036-03-09T00:00:00"/>
    <x v="3"/>
    <n v="1000"/>
    <s v="Genset Petrol"/>
  </r>
  <r>
    <d v="2026-03-09T00:00:00"/>
    <x v="3"/>
    <n v="1000"/>
    <s v="Genset Petrol Adv"/>
  </r>
  <r>
    <d v="2026-03-09T00:00:00"/>
    <x v="1"/>
    <n v="340"/>
    <s v="Tiles Spacer flexi quik "/>
  </r>
  <r>
    <d v="2026-03-09T00:00:00"/>
    <x v="1"/>
    <n v="160"/>
    <s v="Bal amt with kumar petrol"/>
  </r>
  <r>
    <d v="2026-03-10T00:00:00"/>
    <x v="7"/>
    <n v="2000"/>
    <s v="Kumar Mason Adv"/>
  </r>
  <r>
    <d v="2026-03-11T00:00:00"/>
    <x v="26"/>
    <n v="20000"/>
    <s v="Labour Advance"/>
  </r>
  <r>
    <d v="2026-03-11T00:00:00"/>
    <x v="3"/>
    <n v="500"/>
    <s v="Genset Petrol "/>
  </r>
  <r>
    <d v="2026-03-12T00:00:00"/>
    <x v="1"/>
    <n v="600"/>
    <s v="Granite Unloading"/>
  </r>
  <r>
    <d v="2026-03-12T00:00:00"/>
    <x v="7"/>
    <n v="500"/>
    <s v="Kumar Mason Adv "/>
  </r>
  <r>
    <d v="2026-03-14T00:00:00"/>
    <x v="3"/>
    <n v="500"/>
    <s v="Genset Petrol"/>
  </r>
  <r>
    <d v="2026-03-14T00:00:00"/>
    <x v="7"/>
    <n v="18900"/>
    <s v="Kumar Mason lab"/>
  </r>
  <r>
    <d v="2026-03-14T00:00:00"/>
    <x v="25"/>
    <n v="15000"/>
    <s v="Part payment second house"/>
  </r>
  <r>
    <d v="2026-03-15T00:00:00"/>
    <x v="6"/>
    <n v="1166"/>
    <s v="Tiles paste porter - Paid to Nithish"/>
  </r>
  <r>
    <d v="2026-03-18T00:00:00"/>
    <x v="26"/>
    <n v="10000"/>
    <s v="Advance"/>
  </r>
  <r>
    <d v="2026-03-19T00:00:00"/>
    <x v="9"/>
    <n v="1000"/>
    <s v="Lab tea"/>
  </r>
  <r>
    <d v="2026-03-19T00:00:00"/>
    <x v="3"/>
    <n v="2200"/>
    <s v="Petrol Genset Tiles"/>
  </r>
  <r>
    <d v="2026-03-19T00:00:00"/>
    <x v="1"/>
    <n v="300"/>
    <s v="Fevi quik for tiles"/>
  </r>
  <r>
    <d v="2026-03-19T00:00:00"/>
    <x v="7"/>
    <n v="2000"/>
    <s v="Kumar Mason Adv"/>
  </r>
  <r>
    <d v="2026-03-19T00:00:00"/>
    <x v="26"/>
    <n v="5000"/>
    <s v="Lab advance"/>
  </r>
  <r>
    <d v="2026-03-21T00:00:00"/>
    <x v="7"/>
    <n v="32100"/>
    <s v="Kumar mason Lab"/>
  </r>
  <r>
    <d v="2026-03-21T00:00:00"/>
    <x v="19"/>
    <n v="5000"/>
    <s v="Selvam Electrical Lab"/>
  </r>
  <r>
    <d v="2026-03-21T00:00:00"/>
    <x v="25"/>
    <n v="8500"/>
    <s v="Tiles paste purchase"/>
  </r>
  <r>
    <d v="2026-03-21T00:00:00"/>
    <x v="25"/>
    <n v="95000"/>
    <s v="Tiles pending amount"/>
  </r>
  <r>
    <d v="2026-03-21T00:00:00"/>
    <x v="26"/>
    <n v="10000"/>
    <s v="Lab advance"/>
  </r>
  <r>
    <d v="2026-03-21T00:00:00"/>
    <x v="5"/>
    <n v="18900"/>
    <s v="Palani Murugan Cement Payment"/>
  </r>
  <r>
    <d v="2026-03-21T00:00:00"/>
    <x v="5"/>
    <n v="900"/>
    <s v="SV Traders Pending - Correction"/>
  </r>
  <r>
    <d v="2026-03-22T00:00:00"/>
    <x v="3"/>
    <n v="500"/>
    <s v="Genset Petrol"/>
  </r>
  <r>
    <d v="2026-03-24T00:00:00"/>
    <x v="3"/>
    <n v="2500"/>
    <s v="Genset Petrol"/>
  </r>
  <r>
    <d v="2026-03-24T00:00:00"/>
    <x v="27"/>
    <n v="1000"/>
    <s v="Selvam Lab"/>
  </r>
  <r>
    <m/>
    <x v="2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C62C7-A7F3-4225-A13E-8201E9F586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D3:E7" firstHeaderRow="1" firstDataRow="1" firstDataCol="1"/>
  <pivotFields count="4">
    <pivotField showAll="0"/>
    <pivotField axis="axisRow" showAll="0">
      <items count="30">
        <item x="5"/>
        <item x="2"/>
        <item h="1" x="4"/>
        <item x="0"/>
        <item h="1" x="6"/>
        <item h="1" x="3"/>
        <item h="1" x="1"/>
        <item h="1" x="28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29" firstHeaderRow="1" firstDataRow="1" firstDataCol="1"/>
  <pivotFields count="4">
    <pivotField showAll="0"/>
    <pivotField axis="axisRow" showAll="0">
      <items count="30">
        <item x="5"/>
        <item x="2"/>
        <item x="4"/>
        <item x="0"/>
        <item x="6"/>
        <item x="3"/>
        <item x="1"/>
        <item h="1" x="28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h="1" x="26"/>
        <item h="1" x="27"/>
        <item t="default"/>
      </items>
    </pivotField>
    <pivotField dataField="1"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Total_Amount" fld="2" baseField="0" baseItem="0" numFmtId="8"/>
  </dataFields>
  <formats count="5"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3CF52-2B38-440E-A2E0-E3EBDEB380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J3:K6" firstHeaderRow="1" firstDataRow="1" firstDataCol="1"/>
  <pivotFields count="4">
    <pivotField showAll="0"/>
    <pivotField axis="axisRow" showAll="0">
      <items count="30">
        <item h="1" x="5"/>
        <item h="1" x="2"/>
        <item h="1" x="4"/>
        <item h="1" x="0"/>
        <item h="1" x="6"/>
        <item h="1" x="3"/>
        <item h="1" x="1"/>
        <item h="1" x="28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dataField="1" showAll="0"/>
    <pivotField showAll="0"/>
  </pivotFields>
  <rowFields count="1">
    <field x="1"/>
  </rowFields>
  <rowItems count="3">
    <i>
      <x v="17"/>
    </i>
    <i>
      <x v="18"/>
    </i>
    <i t="grand">
      <x/>
    </i>
  </rowItems>
  <colItems count="1">
    <i/>
  </colItems>
  <dataFields count="1">
    <dataField name="Total_Amount" fld="2" baseField="0" baseItem="0" numFmtId="8"/>
  </dataFields>
  <formats count="5"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E7EF1-D634-4326-8B1F-206D3919FD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G3:H8" firstHeaderRow="1" firstDataRow="1" firstDataCol="1"/>
  <pivotFields count="4">
    <pivotField showAll="0"/>
    <pivotField axis="axisRow" showAll="0">
      <items count="30">
        <item h="1" x="5"/>
        <item h="1" x="2"/>
        <item x="4"/>
        <item h="1" x="0"/>
        <item h="1" x="6"/>
        <item h="1" x="3"/>
        <item h="1" x="1"/>
        <item h="1" x="28"/>
        <item x="7"/>
        <item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dataField="1" showAll="0"/>
    <pivotField showAll="0"/>
  </pivotFields>
  <rowFields count="1">
    <field x="1"/>
  </rowFields>
  <rowItems count="5">
    <i>
      <x v="2"/>
    </i>
    <i>
      <x v="8"/>
    </i>
    <i>
      <x v="9"/>
    </i>
    <i>
      <x v="12"/>
    </i>
    <i t="grand">
      <x/>
    </i>
  </rowItems>
  <colItems count="1">
    <i/>
  </colItems>
  <dataFields count="1">
    <dataField name="Total_Amount" fld="2" baseField="0" baseItem="0" numFmtId="8"/>
  </dataFields>
  <formats count="5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workbookViewId="0">
      <selection activeCell="B8" sqref="B8"/>
    </sheetView>
  </sheetViews>
  <sheetFormatPr defaultRowHeight="14.5" x14ac:dyDescent="0.35"/>
  <cols>
    <col min="1" max="1" width="8.08984375" style="5" bestFit="1" customWidth="1"/>
    <col min="2" max="2" width="12.7265625" style="8" bestFit="1" customWidth="1"/>
    <col min="3" max="3" width="12.7265625" style="8" customWidth="1"/>
    <col min="4" max="4" width="17.7265625" bestFit="1" customWidth="1"/>
    <col min="5" max="5" width="24.453125" bestFit="1" customWidth="1"/>
    <col min="7" max="7" width="10.26953125" bestFit="1" customWidth="1"/>
    <col min="9" max="9" width="20.7265625" bestFit="1" customWidth="1"/>
    <col min="10" max="10" width="12.7265625" bestFit="1" customWidth="1"/>
  </cols>
  <sheetData>
    <row r="1" spans="1:10" x14ac:dyDescent="0.35">
      <c r="A1" s="3" t="s">
        <v>0</v>
      </c>
      <c r="B1" s="6" t="s">
        <v>1</v>
      </c>
      <c r="C1" s="6" t="s">
        <v>22</v>
      </c>
      <c r="D1" s="2" t="s">
        <v>2</v>
      </c>
      <c r="E1" s="2" t="s">
        <v>3</v>
      </c>
      <c r="I1" t="s">
        <v>18</v>
      </c>
      <c r="J1" s="8">
        <f>SUM(B2:B200)</f>
        <v>4329200</v>
      </c>
    </row>
    <row r="2" spans="1:10" x14ac:dyDescent="0.35">
      <c r="A2" s="4">
        <v>45888</v>
      </c>
      <c r="B2" s="7">
        <v>300000</v>
      </c>
      <c r="C2" s="7" t="s">
        <v>23</v>
      </c>
      <c r="D2" s="1" t="s">
        <v>4</v>
      </c>
      <c r="E2" s="1" t="s">
        <v>21</v>
      </c>
      <c r="F2" s="9"/>
      <c r="G2" s="8"/>
      <c r="I2" t="s">
        <v>24</v>
      </c>
      <c r="J2" s="8">
        <f>SUMIF(C2:C200,"TSK",B2:B200)</f>
        <v>861000</v>
      </c>
    </row>
    <row r="3" spans="1:10" x14ac:dyDescent="0.35">
      <c r="A3" s="4">
        <v>45903</v>
      </c>
      <c r="B3" s="7">
        <v>61000</v>
      </c>
      <c r="C3" s="7" t="s">
        <v>23</v>
      </c>
      <c r="D3" s="1" t="s">
        <v>73</v>
      </c>
      <c r="E3" s="1" t="s">
        <v>21</v>
      </c>
      <c r="F3" s="9"/>
      <c r="G3" s="8"/>
      <c r="I3" t="s">
        <v>25</v>
      </c>
      <c r="J3" s="8">
        <f>SUMIF(C2:C200,"LN",B2:B200)</f>
        <v>3468200</v>
      </c>
    </row>
    <row r="4" spans="1:10" x14ac:dyDescent="0.35">
      <c r="A4" s="4">
        <v>45904</v>
      </c>
      <c r="B4" s="7">
        <v>200000</v>
      </c>
      <c r="C4" s="7" t="s">
        <v>23</v>
      </c>
      <c r="D4" s="1" t="s">
        <v>73</v>
      </c>
      <c r="E4" s="1" t="s">
        <v>74</v>
      </c>
      <c r="F4" s="9"/>
      <c r="G4" s="8"/>
      <c r="J4" s="8"/>
    </row>
    <row r="5" spans="1:10" x14ac:dyDescent="0.35">
      <c r="A5" s="4">
        <v>45915</v>
      </c>
      <c r="B5" s="7">
        <v>100000</v>
      </c>
      <c r="C5" s="7" t="s">
        <v>23</v>
      </c>
      <c r="D5" s="1" t="s">
        <v>4</v>
      </c>
      <c r="E5" s="1" t="s">
        <v>100</v>
      </c>
      <c r="F5" s="9"/>
      <c r="G5" s="8"/>
    </row>
    <row r="6" spans="1:10" x14ac:dyDescent="0.35">
      <c r="A6" s="4">
        <v>45918</v>
      </c>
      <c r="B6" s="7">
        <v>5000</v>
      </c>
      <c r="C6" s="7" t="s">
        <v>115</v>
      </c>
      <c r="D6" s="1" t="s">
        <v>73</v>
      </c>
      <c r="E6" s="1" t="s">
        <v>116</v>
      </c>
      <c r="F6" s="9"/>
      <c r="G6" s="8"/>
      <c r="I6" t="s">
        <v>155</v>
      </c>
      <c r="J6" s="8">
        <v>5500000</v>
      </c>
    </row>
    <row r="7" spans="1:10" x14ac:dyDescent="0.35">
      <c r="A7" s="4">
        <v>45923</v>
      </c>
      <c r="B7" s="7">
        <v>200000</v>
      </c>
      <c r="C7" s="7" t="s">
        <v>23</v>
      </c>
      <c r="D7" s="1" t="s">
        <v>4</v>
      </c>
      <c r="E7" s="1" t="s">
        <v>21</v>
      </c>
      <c r="F7" s="9"/>
      <c r="G7" s="8"/>
      <c r="I7" t="s">
        <v>156</v>
      </c>
      <c r="J7" s="8">
        <f>J1</f>
        <v>4329200</v>
      </c>
    </row>
    <row r="8" spans="1:10" x14ac:dyDescent="0.35">
      <c r="A8" s="4">
        <v>45925</v>
      </c>
      <c r="B8" s="7">
        <v>500000</v>
      </c>
      <c r="C8" s="7" t="s">
        <v>115</v>
      </c>
      <c r="D8" s="1" t="s">
        <v>73</v>
      </c>
      <c r="E8" s="1" t="s">
        <v>128</v>
      </c>
      <c r="F8" s="9"/>
      <c r="G8" s="8"/>
      <c r="I8" t="s">
        <v>15</v>
      </c>
      <c r="J8" s="8">
        <f>J6-J7</f>
        <v>1170800</v>
      </c>
    </row>
    <row r="9" spans="1:10" x14ac:dyDescent="0.35">
      <c r="A9" s="4">
        <v>45936</v>
      </c>
      <c r="B9" s="7">
        <v>500000</v>
      </c>
      <c r="C9" s="7" t="s">
        <v>115</v>
      </c>
      <c r="D9" s="1" t="s">
        <v>73</v>
      </c>
      <c r="E9" s="1" t="s">
        <v>128</v>
      </c>
      <c r="F9" s="9"/>
      <c r="G9" s="8"/>
    </row>
    <row r="10" spans="1:10" x14ac:dyDescent="0.35">
      <c r="A10" s="4">
        <v>45946</v>
      </c>
      <c r="B10" s="7">
        <v>15000</v>
      </c>
      <c r="C10" s="7" t="s">
        <v>115</v>
      </c>
      <c r="D10" s="1" t="s">
        <v>73</v>
      </c>
      <c r="E10" s="1" t="s">
        <v>116</v>
      </c>
      <c r="F10" s="9"/>
      <c r="G10" s="8"/>
    </row>
    <row r="11" spans="1:10" x14ac:dyDescent="0.35">
      <c r="A11" s="4">
        <v>45947</v>
      </c>
      <c r="B11" s="7">
        <v>350000</v>
      </c>
      <c r="C11" s="7" t="s">
        <v>115</v>
      </c>
      <c r="D11" s="1" t="s">
        <v>73</v>
      </c>
      <c r="E11" s="1" t="s">
        <v>178</v>
      </c>
      <c r="F11" s="9"/>
      <c r="G11" s="8"/>
    </row>
    <row r="12" spans="1:10" x14ac:dyDescent="0.35">
      <c r="A12" s="4">
        <v>45954</v>
      </c>
      <c r="B12" s="7">
        <v>150000</v>
      </c>
      <c r="C12" s="7" t="s">
        <v>115</v>
      </c>
      <c r="D12" s="1" t="s">
        <v>73</v>
      </c>
      <c r="E12" s="1" t="s">
        <v>178</v>
      </c>
      <c r="F12" s="9"/>
      <c r="G12" s="8"/>
    </row>
    <row r="13" spans="1:10" x14ac:dyDescent="0.35">
      <c r="A13" s="4">
        <v>45958</v>
      </c>
      <c r="B13" s="7">
        <v>100000</v>
      </c>
      <c r="C13" s="7" t="s">
        <v>115</v>
      </c>
      <c r="D13" s="1" t="s">
        <v>73</v>
      </c>
      <c r="E13" s="1" t="s">
        <v>182</v>
      </c>
      <c r="F13" s="9"/>
      <c r="G13" s="8"/>
    </row>
    <row r="14" spans="1:10" x14ac:dyDescent="0.35">
      <c r="A14" s="4">
        <v>45982</v>
      </c>
      <c r="B14" s="7">
        <v>500000</v>
      </c>
      <c r="C14" s="7" t="s">
        <v>115</v>
      </c>
      <c r="D14" s="1" t="s">
        <v>73</v>
      </c>
      <c r="E14" s="1" t="s">
        <v>206</v>
      </c>
      <c r="F14" s="9"/>
      <c r="G14" s="8"/>
    </row>
    <row r="15" spans="1:10" x14ac:dyDescent="0.35">
      <c r="A15" s="4">
        <v>45982</v>
      </c>
      <c r="B15" s="7">
        <v>6500</v>
      </c>
      <c r="C15" s="7" t="s">
        <v>115</v>
      </c>
      <c r="D15" s="1" t="s">
        <v>73</v>
      </c>
      <c r="E15" s="1" t="s">
        <v>116</v>
      </c>
      <c r="F15" s="9"/>
      <c r="G15" s="8"/>
      <c r="I15" s="8"/>
    </row>
    <row r="16" spans="1:10" x14ac:dyDescent="0.35">
      <c r="A16" s="4">
        <v>45992</v>
      </c>
      <c r="B16" s="7">
        <v>100000</v>
      </c>
      <c r="C16" s="7" t="s">
        <v>115</v>
      </c>
      <c r="D16" s="1" t="s">
        <v>73</v>
      </c>
      <c r="E16" s="1" t="s">
        <v>214</v>
      </c>
      <c r="F16" s="9"/>
      <c r="G16" s="8"/>
    </row>
    <row r="17" spans="1:7" x14ac:dyDescent="0.35">
      <c r="A17" s="4">
        <v>46007</v>
      </c>
      <c r="B17" s="7">
        <v>5000</v>
      </c>
      <c r="C17" s="7" t="s">
        <v>115</v>
      </c>
      <c r="D17" s="1" t="s">
        <v>73</v>
      </c>
      <c r="E17" s="1" t="s">
        <v>116</v>
      </c>
      <c r="F17" s="9"/>
      <c r="G17" s="8"/>
    </row>
    <row r="18" spans="1:7" x14ac:dyDescent="0.35">
      <c r="A18" s="4">
        <v>46022</v>
      </c>
      <c r="B18" s="7">
        <v>500000</v>
      </c>
      <c r="C18" s="7" t="s">
        <v>115</v>
      </c>
      <c r="D18" s="1" t="s">
        <v>73</v>
      </c>
      <c r="E18" s="1" t="s">
        <v>246</v>
      </c>
      <c r="F18" s="9"/>
      <c r="G18" s="8"/>
    </row>
    <row r="19" spans="1:7" x14ac:dyDescent="0.35">
      <c r="A19" s="4">
        <v>46031</v>
      </c>
      <c r="B19" s="7">
        <v>100000</v>
      </c>
      <c r="C19" s="7" t="s">
        <v>115</v>
      </c>
      <c r="D19" s="1" t="s">
        <v>73</v>
      </c>
      <c r="E19" s="1" t="s">
        <v>253</v>
      </c>
      <c r="F19" s="9"/>
      <c r="G19" s="8"/>
    </row>
    <row r="20" spans="1:7" x14ac:dyDescent="0.35">
      <c r="A20" s="4">
        <v>46031</v>
      </c>
      <c r="B20" s="7">
        <v>10500</v>
      </c>
      <c r="C20" s="7" t="s">
        <v>115</v>
      </c>
      <c r="D20" s="1" t="s">
        <v>73</v>
      </c>
      <c r="E20" s="1" t="s">
        <v>254</v>
      </c>
      <c r="F20" s="9"/>
      <c r="G20" s="8"/>
    </row>
    <row r="21" spans="1:7" x14ac:dyDescent="0.35">
      <c r="A21" s="4">
        <v>46063</v>
      </c>
      <c r="B21" s="7">
        <v>600000</v>
      </c>
      <c r="C21" s="7" t="s">
        <v>115</v>
      </c>
      <c r="D21" s="1" t="s">
        <v>73</v>
      </c>
      <c r="E21" s="1" t="s">
        <v>288</v>
      </c>
      <c r="F21" s="9"/>
      <c r="G21" s="8"/>
    </row>
    <row r="22" spans="1:7" x14ac:dyDescent="0.35">
      <c r="A22" s="4">
        <v>46111</v>
      </c>
      <c r="B22" s="7">
        <v>26200</v>
      </c>
      <c r="C22" s="7" t="s">
        <v>115</v>
      </c>
      <c r="D22" s="1" t="s">
        <v>73</v>
      </c>
      <c r="E22" s="1" t="s">
        <v>116</v>
      </c>
    </row>
    <row r="170" spans="1:4" x14ac:dyDescent="0.35">
      <c r="A170" s="4"/>
      <c r="B170" s="7"/>
      <c r="C170" s="7"/>
      <c r="D170" s="1"/>
    </row>
    <row r="171" spans="1:4" x14ac:dyDescent="0.35">
      <c r="A171" s="4"/>
      <c r="B171" s="7"/>
      <c r="C171" s="7"/>
      <c r="D171" s="1"/>
    </row>
    <row r="172" spans="1:4" x14ac:dyDescent="0.35">
      <c r="A172" s="4"/>
      <c r="B172" s="7"/>
      <c r="C172" s="7"/>
      <c r="D172" s="1"/>
    </row>
    <row r="173" spans="1:4" x14ac:dyDescent="0.35">
      <c r="A173" s="4"/>
      <c r="B173" s="7"/>
      <c r="C173" s="7"/>
      <c r="D173" s="1"/>
    </row>
    <row r="174" spans="1:4" x14ac:dyDescent="0.35">
      <c r="A174" s="4"/>
      <c r="B174" s="7"/>
      <c r="C174" s="7"/>
      <c r="D174" s="1"/>
    </row>
    <row r="175" spans="1:4" x14ac:dyDescent="0.35">
      <c r="A175" s="4"/>
      <c r="B175" s="7"/>
      <c r="C175" s="7"/>
      <c r="D175" s="1"/>
    </row>
    <row r="176" spans="1:4" x14ac:dyDescent="0.35">
      <c r="A176" s="4"/>
      <c r="B176" s="7"/>
      <c r="C176" s="7"/>
      <c r="D176" s="1"/>
    </row>
    <row r="177" spans="1:4" x14ac:dyDescent="0.35">
      <c r="A177" s="4"/>
      <c r="B177" s="7"/>
      <c r="C177" s="7">
        <v>27775</v>
      </c>
      <c r="D177" s="1"/>
    </row>
    <row r="178" spans="1:4" x14ac:dyDescent="0.35">
      <c r="A178" s="4"/>
      <c r="B178" s="7"/>
      <c r="C178" s="7"/>
      <c r="D178" s="1"/>
    </row>
    <row r="179" spans="1:4" x14ac:dyDescent="0.35">
      <c r="A179" s="4"/>
      <c r="B179" s="7"/>
      <c r="C179" s="7"/>
      <c r="D179" s="1"/>
    </row>
    <row r="180" spans="1:4" x14ac:dyDescent="0.35">
      <c r="A180" s="4"/>
      <c r="B180" s="7"/>
      <c r="C180" s="7"/>
      <c r="D180" s="1"/>
    </row>
    <row r="181" spans="1:4" x14ac:dyDescent="0.35">
      <c r="A181" s="4"/>
      <c r="B181" s="7"/>
      <c r="C181" s="7"/>
      <c r="D181" s="1"/>
    </row>
    <row r="182" spans="1:4" x14ac:dyDescent="0.35">
      <c r="A182" s="4"/>
      <c r="B182" s="7"/>
      <c r="C182" s="7"/>
      <c r="D182" s="1"/>
    </row>
    <row r="183" spans="1:4" x14ac:dyDescent="0.35">
      <c r="A183" s="4">
        <v>45964</v>
      </c>
      <c r="B183" s="7" t="s">
        <v>32</v>
      </c>
      <c r="C183" s="7">
        <v>500</v>
      </c>
      <c r="D183" s="1"/>
    </row>
  </sheetData>
  <autoFilter ref="A1:E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416"/>
  <sheetViews>
    <sheetView tabSelected="1" topLeftCell="A401" workbookViewId="0">
      <selection activeCell="E416" sqref="E416"/>
    </sheetView>
  </sheetViews>
  <sheetFormatPr defaultRowHeight="14.5" x14ac:dyDescent="0.35"/>
  <cols>
    <col min="1" max="1" width="10.08984375" style="5" bestFit="1" customWidth="1"/>
    <col min="2" max="2" width="20.54296875" bestFit="1" customWidth="1"/>
    <col min="3" max="3" width="11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5</v>
      </c>
      <c r="C1" s="6" t="s">
        <v>1</v>
      </c>
      <c r="D1" s="2" t="s">
        <v>3</v>
      </c>
      <c r="I1" s="11" t="s">
        <v>7</v>
      </c>
      <c r="J1" s="7">
        <f>'Payment Received'!J1</f>
        <v>4329200</v>
      </c>
    </row>
    <row r="2" spans="1:12" x14ac:dyDescent="0.35">
      <c r="A2" s="4">
        <v>45888</v>
      </c>
      <c r="B2" s="1" t="s">
        <v>26</v>
      </c>
      <c r="C2" s="7">
        <v>6400</v>
      </c>
      <c r="D2" s="1" t="s">
        <v>27</v>
      </c>
      <c r="I2" s="17" t="s">
        <v>8</v>
      </c>
      <c r="J2" s="7">
        <f>SUM(C2:C510)</f>
        <v>4348987</v>
      </c>
    </row>
    <row r="3" spans="1:12" x14ac:dyDescent="0.35">
      <c r="A3" s="4">
        <v>45888</v>
      </c>
      <c r="B3" s="1" t="s">
        <v>6</v>
      </c>
      <c r="C3" s="7">
        <v>200</v>
      </c>
      <c r="D3" s="1" t="s">
        <v>28</v>
      </c>
      <c r="I3" s="12" t="s">
        <v>15</v>
      </c>
      <c r="J3" s="7">
        <f>J1-J2</f>
        <v>-19787</v>
      </c>
    </row>
    <row r="4" spans="1:12" x14ac:dyDescent="0.35">
      <c r="A4" s="4">
        <v>45889</v>
      </c>
      <c r="B4" s="1" t="s">
        <v>30</v>
      </c>
      <c r="C4" s="7">
        <v>700</v>
      </c>
      <c r="D4" s="1" t="s">
        <v>44</v>
      </c>
      <c r="K4" s="18"/>
      <c r="L4" s="8"/>
    </row>
    <row r="5" spans="1:12" x14ac:dyDescent="0.35">
      <c r="A5" s="4">
        <v>45889</v>
      </c>
      <c r="B5" s="1" t="s">
        <v>6</v>
      </c>
      <c r="C5" s="7">
        <v>70</v>
      </c>
      <c r="D5" s="1" t="s">
        <v>29</v>
      </c>
    </row>
    <row r="6" spans="1:12" x14ac:dyDescent="0.35">
      <c r="A6" s="4">
        <v>45889</v>
      </c>
      <c r="B6" s="1" t="s">
        <v>30</v>
      </c>
      <c r="C6" s="7">
        <v>900</v>
      </c>
      <c r="D6" s="1" t="s">
        <v>31</v>
      </c>
    </row>
    <row r="7" spans="1:12" x14ac:dyDescent="0.35">
      <c r="A7" s="4">
        <v>45889</v>
      </c>
      <c r="B7" s="1" t="s">
        <v>32</v>
      </c>
      <c r="C7" s="7">
        <v>400</v>
      </c>
      <c r="D7" s="1" t="s">
        <v>33</v>
      </c>
    </row>
    <row r="8" spans="1:12" x14ac:dyDescent="0.35">
      <c r="A8" s="4">
        <v>45889</v>
      </c>
      <c r="B8" s="1" t="s">
        <v>26</v>
      </c>
      <c r="C8" s="7">
        <v>650</v>
      </c>
      <c r="D8" s="1" t="s">
        <v>34</v>
      </c>
      <c r="H8" s="8"/>
    </row>
    <row r="9" spans="1:12" x14ac:dyDescent="0.35">
      <c r="A9" s="4">
        <v>45889</v>
      </c>
      <c r="B9" s="1" t="s">
        <v>26</v>
      </c>
      <c r="C9" s="7">
        <v>920</v>
      </c>
      <c r="D9" s="1" t="s">
        <v>35</v>
      </c>
    </row>
    <row r="10" spans="1:12" x14ac:dyDescent="0.35">
      <c r="A10" s="4">
        <v>45889</v>
      </c>
      <c r="B10" s="7" t="s">
        <v>6</v>
      </c>
      <c r="C10" s="7">
        <v>400</v>
      </c>
      <c r="D10" s="1" t="s">
        <v>28</v>
      </c>
    </row>
    <row r="11" spans="1:12" x14ac:dyDescent="0.35">
      <c r="A11" s="4">
        <v>45889</v>
      </c>
      <c r="B11" s="1" t="s">
        <v>6</v>
      </c>
      <c r="C11" s="7">
        <v>100</v>
      </c>
      <c r="D11" s="1" t="s">
        <v>36</v>
      </c>
    </row>
    <row r="12" spans="1:12" x14ac:dyDescent="0.35">
      <c r="A12" s="4">
        <v>45889</v>
      </c>
      <c r="B12" s="1" t="s">
        <v>11</v>
      </c>
      <c r="C12" s="7">
        <v>5000</v>
      </c>
      <c r="D12" s="1" t="s">
        <v>37</v>
      </c>
    </row>
    <row r="13" spans="1:12" x14ac:dyDescent="0.35">
      <c r="A13" s="4">
        <v>45890</v>
      </c>
      <c r="B13" s="1" t="s">
        <v>38</v>
      </c>
      <c r="C13" s="7">
        <v>19500</v>
      </c>
      <c r="D13" s="1" t="s">
        <v>39</v>
      </c>
    </row>
    <row r="14" spans="1:12" x14ac:dyDescent="0.35">
      <c r="A14" s="4">
        <v>45890</v>
      </c>
      <c r="B14" s="1" t="s">
        <v>6</v>
      </c>
      <c r="C14" s="7">
        <v>150</v>
      </c>
      <c r="D14" s="1" t="s">
        <v>19</v>
      </c>
    </row>
    <row r="15" spans="1:12" x14ac:dyDescent="0.35">
      <c r="A15" s="4">
        <v>45890</v>
      </c>
      <c r="B15" s="1" t="s">
        <v>40</v>
      </c>
      <c r="C15" s="7">
        <v>1050</v>
      </c>
      <c r="D15" s="1" t="s">
        <v>41</v>
      </c>
    </row>
    <row r="16" spans="1:12" x14ac:dyDescent="0.35">
      <c r="A16" s="4">
        <v>45890</v>
      </c>
      <c r="B16" s="1" t="s">
        <v>32</v>
      </c>
      <c r="C16" s="7">
        <v>300</v>
      </c>
      <c r="D16" s="1" t="s">
        <v>42</v>
      </c>
    </row>
    <row r="17" spans="1:4" x14ac:dyDescent="0.35">
      <c r="A17" s="4">
        <v>45890</v>
      </c>
      <c r="B17" s="1" t="s">
        <v>32</v>
      </c>
      <c r="C17" s="7">
        <v>300</v>
      </c>
      <c r="D17" s="1" t="s">
        <v>42</v>
      </c>
    </row>
    <row r="18" spans="1:4" x14ac:dyDescent="0.35">
      <c r="A18" s="4">
        <v>45890</v>
      </c>
      <c r="B18" s="1" t="s">
        <v>11</v>
      </c>
      <c r="C18" s="7">
        <v>7000</v>
      </c>
      <c r="D18" s="1" t="s">
        <v>43</v>
      </c>
    </row>
    <row r="19" spans="1:4" x14ac:dyDescent="0.35">
      <c r="A19" s="4">
        <v>45891</v>
      </c>
      <c r="B19" s="1" t="s">
        <v>32</v>
      </c>
      <c r="C19" s="7">
        <v>300</v>
      </c>
      <c r="D19" s="1" t="s">
        <v>42</v>
      </c>
    </row>
    <row r="20" spans="1:4" x14ac:dyDescent="0.35">
      <c r="A20" s="4">
        <v>45892</v>
      </c>
      <c r="B20" s="1" t="s">
        <v>46</v>
      </c>
      <c r="C20" s="7">
        <v>1000</v>
      </c>
      <c r="D20" s="1" t="s">
        <v>47</v>
      </c>
    </row>
    <row r="21" spans="1:4" x14ac:dyDescent="0.35">
      <c r="A21" s="4">
        <v>45892</v>
      </c>
      <c r="B21" s="1" t="s">
        <v>38</v>
      </c>
      <c r="C21" s="7">
        <v>65000</v>
      </c>
      <c r="D21" s="1" t="s">
        <v>48</v>
      </c>
    </row>
    <row r="22" spans="1:4" x14ac:dyDescent="0.35">
      <c r="A22" s="4">
        <v>45892</v>
      </c>
      <c r="B22" s="1" t="s">
        <v>46</v>
      </c>
      <c r="C22" s="7">
        <v>23400</v>
      </c>
      <c r="D22" s="1" t="s">
        <v>51</v>
      </c>
    </row>
    <row r="23" spans="1:4" x14ac:dyDescent="0.35">
      <c r="A23" s="4">
        <v>45892</v>
      </c>
      <c r="B23" s="1" t="s">
        <v>49</v>
      </c>
      <c r="C23" s="7">
        <v>12400</v>
      </c>
      <c r="D23" s="1" t="s">
        <v>50</v>
      </c>
    </row>
    <row r="24" spans="1:4" x14ac:dyDescent="0.35">
      <c r="A24" s="4">
        <v>45893</v>
      </c>
      <c r="B24" s="1" t="s">
        <v>32</v>
      </c>
      <c r="C24" s="7">
        <v>400</v>
      </c>
      <c r="D24" s="1" t="s">
        <v>54</v>
      </c>
    </row>
    <row r="25" spans="1:4" x14ac:dyDescent="0.35">
      <c r="A25" s="4">
        <v>45893</v>
      </c>
      <c r="B25" s="1" t="s">
        <v>52</v>
      </c>
      <c r="C25" s="7">
        <v>240</v>
      </c>
      <c r="D25" s="1" t="s">
        <v>53</v>
      </c>
    </row>
    <row r="26" spans="1:4" x14ac:dyDescent="0.35">
      <c r="A26" s="4">
        <v>45893</v>
      </c>
      <c r="B26" s="1" t="s">
        <v>32</v>
      </c>
      <c r="C26" s="7">
        <v>300</v>
      </c>
      <c r="D26" s="1" t="s">
        <v>54</v>
      </c>
    </row>
    <row r="27" spans="1:4" x14ac:dyDescent="0.35">
      <c r="A27" s="4">
        <v>45894</v>
      </c>
      <c r="B27" s="1" t="s">
        <v>32</v>
      </c>
      <c r="C27" s="7">
        <v>500</v>
      </c>
      <c r="D27" s="1" t="s">
        <v>55</v>
      </c>
    </row>
    <row r="28" spans="1:4" x14ac:dyDescent="0.35">
      <c r="A28" s="4">
        <v>45894</v>
      </c>
      <c r="B28" s="1" t="s">
        <v>56</v>
      </c>
      <c r="C28" s="7">
        <v>467</v>
      </c>
      <c r="D28" s="1" t="s">
        <v>57</v>
      </c>
    </row>
    <row r="29" spans="1:4" x14ac:dyDescent="0.35">
      <c r="A29" s="4">
        <v>45895</v>
      </c>
      <c r="B29" s="1" t="s">
        <v>32</v>
      </c>
      <c r="C29" s="7">
        <v>400</v>
      </c>
      <c r="D29" s="1" t="s">
        <v>33</v>
      </c>
    </row>
    <row r="30" spans="1:4" x14ac:dyDescent="0.35">
      <c r="A30" s="4">
        <v>45895</v>
      </c>
      <c r="B30" s="1" t="s">
        <v>52</v>
      </c>
      <c r="C30" s="7">
        <v>200</v>
      </c>
      <c r="D30" s="1" t="s">
        <v>58</v>
      </c>
    </row>
    <row r="31" spans="1:4" x14ac:dyDescent="0.35">
      <c r="A31" s="4">
        <v>45895</v>
      </c>
      <c r="B31" s="1" t="s">
        <v>6</v>
      </c>
      <c r="C31" s="7">
        <v>320</v>
      </c>
      <c r="D31" s="1" t="s">
        <v>59</v>
      </c>
    </row>
    <row r="32" spans="1:4" x14ac:dyDescent="0.35">
      <c r="A32" s="4">
        <v>45895</v>
      </c>
      <c r="B32" s="1" t="s">
        <v>38</v>
      </c>
      <c r="C32" s="7">
        <v>30000</v>
      </c>
      <c r="D32" s="1" t="s">
        <v>60</v>
      </c>
    </row>
    <row r="33" spans="1:4" x14ac:dyDescent="0.35">
      <c r="A33" s="4">
        <v>45899</v>
      </c>
      <c r="B33" s="1" t="s">
        <v>38</v>
      </c>
      <c r="C33" s="7">
        <v>20000</v>
      </c>
      <c r="D33" s="1" t="s">
        <v>61</v>
      </c>
    </row>
    <row r="34" spans="1:4" x14ac:dyDescent="0.35">
      <c r="A34" s="4">
        <v>45899</v>
      </c>
      <c r="B34" s="1" t="s">
        <v>38</v>
      </c>
      <c r="C34" s="7">
        <v>19200</v>
      </c>
      <c r="D34" s="1" t="s">
        <v>62</v>
      </c>
    </row>
    <row r="35" spans="1:4" x14ac:dyDescent="0.35">
      <c r="A35" s="4">
        <v>45899</v>
      </c>
      <c r="B35" s="1" t="s">
        <v>46</v>
      </c>
      <c r="C35" s="7">
        <v>63900</v>
      </c>
      <c r="D35" s="1" t="s">
        <v>63</v>
      </c>
    </row>
    <row r="36" spans="1:4" x14ac:dyDescent="0.35">
      <c r="A36" s="4">
        <v>45899</v>
      </c>
      <c r="B36" s="1" t="s">
        <v>49</v>
      </c>
      <c r="C36" s="7">
        <v>6200</v>
      </c>
      <c r="D36" s="1" t="s">
        <v>64</v>
      </c>
    </row>
    <row r="37" spans="1:4" x14ac:dyDescent="0.35">
      <c r="A37" s="4">
        <v>45899</v>
      </c>
      <c r="B37" s="1" t="s">
        <v>11</v>
      </c>
      <c r="C37" s="7">
        <v>3800</v>
      </c>
      <c r="D37" s="1" t="s">
        <v>65</v>
      </c>
    </row>
    <row r="38" spans="1:4" x14ac:dyDescent="0.35">
      <c r="A38" s="4">
        <v>45899</v>
      </c>
      <c r="B38" s="1" t="s">
        <v>38</v>
      </c>
      <c r="C38" s="7">
        <v>50000</v>
      </c>
      <c r="D38" s="1" t="s">
        <v>66</v>
      </c>
    </row>
    <row r="39" spans="1:4" x14ac:dyDescent="0.35">
      <c r="A39" s="4">
        <v>45899</v>
      </c>
      <c r="B39" s="1" t="s">
        <v>71</v>
      </c>
      <c r="C39" s="7">
        <v>15000</v>
      </c>
      <c r="D39" s="1" t="s">
        <v>70</v>
      </c>
    </row>
    <row r="40" spans="1:4" x14ac:dyDescent="0.35">
      <c r="A40" s="4">
        <v>45901</v>
      </c>
      <c r="B40" s="1" t="s">
        <v>52</v>
      </c>
      <c r="C40" s="7">
        <v>357</v>
      </c>
      <c r="D40" s="1" t="s">
        <v>67</v>
      </c>
    </row>
    <row r="41" spans="1:4" x14ac:dyDescent="0.35">
      <c r="A41" s="4">
        <v>45901</v>
      </c>
      <c r="B41" s="1" t="s">
        <v>68</v>
      </c>
      <c r="C41" s="7">
        <v>3000</v>
      </c>
      <c r="D41" s="1" t="s">
        <v>69</v>
      </c>
    </row>
    <row r="42" spans="1:4" x14ac:dyDescent="0.35">
      <c r="A42" s="4">
        <v>45903</v>
      </c>
      <c r="B42" s="1" t="s">
        <v>49</v>
      </c>
      <c r="C42" s="7">
        <v>200</v>
      </c>
      <c r="D42" s="1" t="s">
        <v>72</v>
      </c>
    </row>
    <row r="43" spans="1:4" x14ac:dyDescent="0.35">
      <c r="A43" s="4">
        <v>45904</v>
      </c>
      <c r="B43" s="1" t="s">
        <v>32</v>
      </c>
      <c r="C43" s="7">
        <v>300</v>
      </c>
      <c r="D43" s="1" t="s">
        <v>76</v>
      </c>
    </row>
    <row r="44" spans="1:4" x14ac:dyDescent="0.35">
      <c r="A44" s="4">
        <v>45904</v>
      </c>
      <c r="B44" s="1" t="s">
        <v>68</v>
      </c>
      <c r="C44" s="7">
        <v>1000</v>
      </c>
      <c r="D44" s="1" t="s">
        <v>77</v>
      </c>
    </row>
    <row r="45" spans="1:4" x14ac:dyDescent="0.35">
      <c r="A45" s="4">
        <v>45904</v>
      </c>
      <c r="B45" s="1" t="s">
        <v>38</v>
      </c>
      <c r="C45" s="7">
        <v>42000</v>
      </c>
      <c r="D45" s="1" t="s">
        <v>75</v>
      </c>
    </row>
    <row r="46" spans="1:4" x14ac:dyDescent="0.35">
      <c r="A46" s="4">
        <v>45906</v>
      </c>
      <c r="B46" s="1" t="s">
        <v>38</v>
      </c>
      <c r="C46" s="7">
        <v>47500</v>
      </c>
      <c r="D46" s="1" t="s">
        <v>75</v>
      </c>
    </row>
    <row r="47" spans="1:4" x14ac:dyDescent="0.35">
      <c r="A47" s="4">
        <v>45906</v>
      </c>
      <c r="B47" s="1" t="s">
        <v>32</v>
      </c>
      <c r="C47" s="7">
        <v>300</v>
      </c>
      <c r="D47" s="1" t="s">
        <v>78</v>
      </c>
    </row>
    <row r="48" spans="1:4" x14ac:dyDescent="0.35">
      <c r="A48" s="4">
        <v>45906</v>
      </c>
      <c r="B48" s="1" t="s">
        <v>46</v>
      </c>
      <c r="C48" s="7">
        <v>9500</v>
      </c>
      <c r="D48" s="1" t="s">
        <v>63</v>
      </c>
    </row>
    <row r="49" spans="1:4" x14ac:dyDescent="0.35">
      <c r="A49" s="4">
        <v>45906</v>
      </c>
      <c r="B49" s="1" t="s">
        <v>49</v>
      </c>
      <c r="C49" s="7">
        <v>4200</v>
      </c>
      <c r="D49" s="1" t="s">
        <v>79</v>
      </c>
    </row>
    <row r="50" spans="1:4" x14ac:dyDescent="0.35">
      <c r="A50" s="4">
        <v>45906</v>
      </c>
      <c r="B50" s="1" t="s">
        <v>38</v>
      </c>
      <c r="C50" s="7">
        <v>50000</v>
      </c>
      <c r="D50" s="1" t="s">
        <v>66</v>
      </c>
    </row>
    <row r="51" spans="1:4" x14ac:dyDescent="0.35">
      <c r="A51" s="4">
        <v>45908</v>
      </c>
      <c r="B51" s="1" t="s">
        <v>40</v>
      </c>
      <c r="C51" s="7">
        <v>420</v>
      </c>
      <c r="D51" s="1" t="s">
        <v>80</v>
      </c>
    </row>
    <row r="52" spans="1:4" x14ac:dyDescent="0.35">
      <c r="A52" s="4">
        <v>45908</v>
      </c>
      <c r="B52" s="1" t="s">
        <v>6</v>
      </c>
      <c r="C52" s="7">
        <v>100</v>
      </c>
      <c r="D52" s="1" t="s">
        <v>81</v>
      </c>
    </row>
    <row r="53" spans="1:4" x14ac:dyDescent="0.35">
      <c r="A53" s="4">
        <v>45909</v>
      </c>
      <c r="B53" s="1" t="s">
        <v>56</v>
      </c>
      <c r="C53" s="7">
        <v>500</v>
      </c>
      <c r="D53" s="1" t="s">
        <v>82</v>
      </c>
    </row>
    <row r="54" spans="1:4" x14ac:dyDescent="0.35">
      <c r="A54" s="4">
        <v>45909</v>
      </c>
      <c r="B54" s="1" t="s">
        <v>32</v>
      </c>
      <c r="C54" s="7">
        <v>500</v>
      </c>
      <c r="D54" s="1" t="s">
        <v>83</v>
      </c>
    </row>
    <row r="55" spans="1:4" x14ac:dyDescent="0.35">
      <c r="A55" s="4">
        <v>45909</v>
      </c>
      <c r="B55" s="1" t="s">
        <v>6</v>
      </c>
      <c r="C55" s="7">
        <v>250</v>
      </c>
      <c r="D55" s="1" t="s">
        <v>84</v>
      </c>
    </row>
    <row r="56" spans="1:4" x14ac:dyDescent="0.35">
      <c r="A56" s="4">
        <v>45909</v>
      </c>
      <c r="B56" s="1" t="s">
        <v>71</v>
      </c>
      <c r="C56" s="7">
        <v>100</v>
      </c>
      <c r="D56" s="1" t="s">
        <v>85</v>
      </c>
    </row>
    <row r="57" spans="1:4" x14ac:dyDescent="0.35">
      <c r="A57" s="4">
        <v>45910</v>
      </c>
      <c r="B57" s="1" t="s">
        <v>26</v>
      </c>
      <c r="C57" s="7">
        <v>2765</v>
      </c>
      <c r="D57" s="1" t="s">
        <v>86</v>
      </c>
    </row>
    <row r="58" spans="1:4" x14ac:dyDescent="0.35">
      <c r="A58" s="4">
        <v>45911</v>
      </c>
      <c r="B58" s="1" t="s">
        <v>32</v>
      </c>
      <c r="C58" s="7">
        <v>500</v>
      </c>
      <c r="D58" s="1" t="s">
        <v>42</v>
      </c>
    </row>
    <row r="59" spans="1:4" x14ac:dyDescent="0.35">
      <c r="A59" s="4">
        <v>45912</v>
      </c>
      <c r="B59" s="1" t="s">
        <v>32</v>
      </c>
      <c r="C59" s="7">
        <v>500</v>
      </c>
      <c r="D59" s="1" t="s">
        <v>42</v>
      </c>
    </row>
    <row r="60" spans="1:4" x14ac:dyDescent="0.35">
      <c r="A60" s="4">
        <v>45912</v>
      </c>
      <c r="B60" s="1" t="s">
        <v>68</v>
      </c>
      <c r="C60" s="7">
        <v>300</v>
      </c>
      <c r="D60" s="1" t="s">
        <v>87</v>
      </c>
    </row>
    <row r="61" spans="1:4" x14ac:dyDescent="0.35">
      <c r="A61" s="4">
        <v>45913</v>
      </c>
      <c r="B61" s="1" t="s">
        <v>32</v>
      </c>
      <c r="C61" s="7">
        <v>500</v>
      </c>
      <c r="D61" s="1" t="s">
        <v>88</v>
      </c>
    </row>
    <row r="62" spans="1:4" x14ac:dyDescent="0.35">
      <c r="A62" s="4">
        <v>45913</v>
      </c>
      <c r="B62" s="1" t="s">
        <v>32</v>
      </c>
      <c r="C62" s="7">
        <v>500</v>
      </c>
      <c r="D62" s="1" t="s">
        <v>89</v>
      </c>
    </row>
    <row r="63" spans="1:4" x14ac:dyDescent="0.35">
      <c r="A63" s="4">
        <v>45913</v>
      </c>
      <c r="B63" s="1" t="s">
        <v>90</v>
      </c>
      <c r="C63" s="7">
        <v>5400</v>
      </c>
      <c r="D63" s="1" t="s">
        <v>91</v>
      </c>
    </row>
    <row r="64" spans="1:4" x14ac:dyDescent="0.35">
      <c r="A64" s="4">
        <v>45913</v>
      </c>
      <c r="B64" s="1" t="s">
        <v>68</v>
      </c>
      <c r="C64" s="7">
        <v>350</v>
      </c>
      <c r="D64" s="1" t="s">
        <v>77</v>
      </c>
    </row>
    <row r="65" spans="1:4" x14ac:dyDescent="0.35">
      <c r="A65" s="4">
        <v>45913</v>
      </c>
      <c r="B65" s="1" t="s">
        <v>46</v>
      </c>
      <c r="C65" s="7">
        <v>38550</v>
      </c>
      <c r="D65" s="1" t="s">
        <v>92</v>
      </c>
    </row>
    <row r="66" spans="1:4" x14ac:dyDescent="0.35">
      <c r="A66" s="4">
        <v>45913</v>
      </c>
      <c r="B66" s="1" t="s">
        <v>49</v>
      </c>
      <c r="C66" s="7">
        <v>22900</v>
      </c>
      <c r="D66" s="1" t="s">
        <v>93</v>
      </c>
    </row>
    <row r="67" spans="1:4" x14ac:dyDescent="0.35">
      <c r="A67" s="4">
        <v>45913</v>
      </c>
      <c r="B67" s="1" t="s">
        <v>30</v>
      </c>
      <c r="C67" s="7">
        <v>6000</v>
      </c>
      <c r="D67" s="1" t="s">
        <v>94</v>
      </c>
    </row>
    <row r="68" spans="1:4" x14ac:dyDescent="0.35">
      <c r="A68" s="4">
        <v>45913</v>
      </c>
      <c r="B68" s="1" t="s">
        <v>71</v>
      </c>
      <c r="C68" s="7">
        <v>15000</v>
      </c>
      <c r="D68" s="1" t="s">
        <v>95</v>
      </c>
    </row>
    <row r="69" spans="1:4" x14ac:dyDescent="0.35">
      <c r="A69" s="4">
        <v>45913</v>
      </c>
      <c r="B69" s="1" t="s">
        <v>96</v>
      </c>
      <c r="C69" s="7">
        <v>1500</v>
      </c>
      <c r="D69" s="1" t="s">
        <v>97</v>
      </c>
    </row>
    <row r="70" spans="1:4" x14ac:dyDescent="0.35">
      <c r="A70" s="4">
        <v>45913</v>
      </c>
      <c r="B70" s="1" t="s">
        <v>52</v>
      </c>
      <c r="C70" s="7">
        <v>1500</v>
      </c>
      <c r="D70" s="1" t="s">
        <v>98</v>
      </c>
    </row>
    <row r="71" spans="1:4" x14ac:dyDescent="0.35">
      <c r="A71" s="4">
        <v>45914</v>
      </c>
      <c r="B71" s="1" t="s">
        <v>32</v>
      </c>
      <c r="C71" s="7">
        <v>500</v>
      </c>
      <c r="D71" s="1" t="s">
        <v>42</v>
      </c>
    </row>
    <row r="72" spans="1:4" x14ac:dyDescent="0.35">
      <c r="A72" s="4">
        <v>45915</v>
      </c>
      <c r="B72" s="1" t="s">
        <v>38</v>
      </c>
      <c r="C72" s="7">
        <v>38400</v>
      </c>
      <c r="D72" s="1" t="s">
        <v>99</v>
      </c>
    </row>
    <row r="73" spans="1:4" x14ac:dyDescent="0.35">
      <c r="A73" s="4">
        <v>45915</v>
      </c>
      <c r="B73" s="1" t="s">
        <v>32</v>
      </c>
      <c r="C73" s="7">
        <v>500</v>
      </c>
      <c r="D73" s="1" t="s">
        <v>42</v>
      </c>
    </row>
    <row r="74" spans="1:4" x14ac:dyDescent="0.35">
      <c r="A74" s="4">
        <v>45915</v>
      </c>
      <c r="B74" s="1" t="s">
        <v>6</v>
      </c>
      <c r="C74" s="7">
        <v>530</v>
      </c>
      <c r="D74" s="1" t="s">
        <v>101</v>
      </c>
    </row>
    <row r="75" spans="1:4" x14ac:dyDescent="0.35">
      <c r="A75" s="4">
        <v>45915</v>
      </c>
      <c r="B75" s="1" t="s">
        <v>11</v>
      </c>
      <c r="C75" s="7">
        <v>1000</v>
      </c>
      <c r="D75" s="1" t="s">
        <v>102</v>
      </c>
    </row>
    <row r="76" spans="1:4" x14ac:dyDescent="0.35">
      <c r="A76" s="4">
        <v>45915</v>
      </c>
      <c r="B76" s="1" t="s">
        <v>46</v>
      </c>
      <c r="C76" s="7">
        <v>2400</v>
      </c>
      <c r="D76" s="1" t="s">
        <v>125</v>
      </c>
    </row>
    <row r="77" spans="1:4" x14ac:dyDescent="0.35">
      <c r="A77" s="4">
        <v>45916</v>
      </c>
      <c r="B77" s="1" t="s">
        <v>11</v>
      </c>
      <c r="C77" s="7">
        <v>6000</v>
      </c>
      <c r="D77" s="1" t="s">
        <v>103</v>
      </c>
    </row>
    <row r="78" spans="1:4" x14ac:dyDescent="0.35">
      <c r="A78" s="4">
        <v>45916</v>
      </c>
      <c r="B78" s="1" t="s">
        <v>56</v>
      </c>
      <c r="C78" s="7">
        <v>500</v>
      </c>
      <c r="D78" s="1" t="s">
        <v>104</v>
      </c>
    </row>
    <row r="79" spans="1:4" x14ac:dyDescent="0.35">
      <c r="A79" s="4">
        <v>45916</v>
      </c>
      <c r="B79" s="1" t="s">
        <v>32</v>
      </c>
      <c r="C79" s="7">
        <v>500</v>
      </c>
      <c r="D79" s="1" t="s">
        <v>42</v>
      </c>
    </row>
    <row r="80" spans="1:4" x14ac:dyDescent="0.35">
      <c r="A80" s="4">
        <v>45916</v>
      </c>
      <c r="B80" s="1" t="s">
        <v>6</v>
      </c>
      <c r="C80" s="7">
        <v>1650</v>
      </c>
      <c r="D80" s="1" t="s">
        <v>105</v>
      </c>
    </row>
    <row r="81" spans="1:4" x14ac:dyDescent="0.35">
      <c r="A81" s="4">
        <v>45917</v>
      </c>
      <c r="B81" s="1" t="s">
        <v>32</v>
      </c>
      <c r="C81" s="7">
        <v>500</v>
      </c>
      <c r="D81" s="1" t="s">
        <v>42</v>
      </c>
    </row>
    <row r="82" spans="1:4" x14ac:dyDescent="0.35">
      <c r="A82" s="4">
        <v>45917</v>
      </c>
      <c r="B82" s="1" t="s">
        <v>46</v>
      </c>
      <c r="C82" s="7">
        <v>10000</v>
      </c>
      <c r="D82" s="1" t="s">
        <v>111</v>
      </c>
    </row>
    <row r="83" spans="1:4" x14ac:dyDescent="0.35">
      <c r="A83" s="4">
        <v>45918</v>
      </c>
      <c r="B83" s="1" t="s">
        <v>32</v>
      </c>
      <c r="C83" s="7">
        <v>500</v>
      </c>
      <c r="D83" s="1" t="s">
        <v>42</v>
      </c>
    </row>
    <row r="84" spans="1:4" x14ac:dyDescent="0.35">
      <c r="A84" s="4">
        <v>45918</v>
      </c>
      <c r="B84" s="1" t="s">
        <v>6</v>
      </c>
      <c r="C84" s="7">
        <v>250</v>
      </c>
      <c r="D84" s="1" t="s">
        <v>112</v>
      </c>
    </row>
    <row r="85" spans="1:4" x14ac:dyDescent="0.35">
      <c r="A85" s="4">
        <v>45918</v>
      </c>
      <c r="B85" s="1" t="s">
        <v>110</v>
      </c>
      <c r="C85" s="7">
        <v>250</v>
      </c>
      <c r="D85" s="1" t="s">
        <v>113</v>
      </c>
    </row>
    <row r="86" spans="1:4" x14ac:dyDescent="0.35">
      <c r="A86" s="4">
        <v>45918</v>
      </c>
      <c r="B86" s="1" t="s">
        <v>6</v>
      </c>
      <c r="C86" s="7">
        <v>400</v>
      </c>
      <c r="D86" s="1" t="s">
        <v>19</v>
      </c>
    </row>
    <row r="87" spans="1:4" x14ac:dyDescent="0.35">
      <c r="A87" s="4">
        <v>45918</v>
      </c>
      <c r="B87" s="1" t="s">
        <v>38</v>
      </c>
      <c r="C87" s="7">
        <v>72000</v>
      </c>
      <c r="D87" s="1" t="s">
        <v>114</v>
      </c>
    </row>
    <row r="88" spans="1:4" x14ac:dyDescent="0.35">
      <c r="A88" s="4">
        <v>45918</v>
      </c>
      <c r="B88" s="1" t="s">
        <v>49</v>
      </c>
      <c r="C88" s="7">
        <v>100</v>
      </c>
      <c r="D88" s="1" t="s">
        <v>124</v>
      </c>
    </row>
    <row r="89" spans="1:4" x14ac:dyDescent="0.35">
      <c r="A89" s="4">
        <v>45919</v>
      </c>
      <c r="B89" s="1" t="s">
        <v>32</v>
      </c>
      <c r="C89" s="7">
        <v>500</v>
      </c>
      <c r="D89" s="1" t="s">
        <v>42</v>
      </c>
    </row>
    <row r="90" spans="1:4" x14ac:dyDescent="0.35">
      <c r="A90" s="4">
        <v>45920</v>
      </c>
      <c r="B90" s="1" t="s">
        <v>32</v>
      </c>
      <c r="C90" s="7">
        <v>500</v>
      </c>
      <c r="D90" s="1" t="s">
        <v>42</v>
      </c>
    </row>
    <row r="91" spans="1:4" x14ac:dyDescent="0.35">
      <c r="A91" s="4">
        <v>45920</v>
      </c>
      <c r="B91" s="1" t="s">
        <v>46</v>
      </c>
      <c r="C91" s="7">
        <v>43350</v>
      </c>
      <c r="D91" s="1" t="s">
        <v>117</v>
      </c>
    </row>
    <row r="92" spans="1:4" x14ac:dyDescent="0.35">
      <c r="A92" s="4">
        <v>45920</v>
      </c>
      <c r="B92" s="1" t="s">
        <v>49</v>
      </c>
      <c r="C92" s="7">
        <v>9750</v>
      </c>
      <c r="D92" s="1" t="s">
        <v>118</v>
      </c>
    </row>
    <row r="93" spans="1:4" x14ac:dyDescent="0.35">
      <c r="A93" s="4">
        <v>45920</v>
      </c>
      <c r="B93" s="1" t="s">
        <v>52</v>
      </c>
      <c r="C93" s="7">
        <v>1200</v>
      </c>
      <c r="D93" s="1" t="s">
        <v>98</v>
      </c>
    </row>
    <row r="94" spans="1:4" x14ac:dyDescent="0.35">
      <c r="A94" s="4">
        <v>45921</v>
      </c>
      <c r="B94" s="1" t="s">
        <v>32</v>
      </c>
      <c r="C94" s="7">
        <v>500</v>
      </c>
      <c r="D94" s="1" t="s">
        <v>42</v>
      </c>
    </row>
    <row r="95" spans="1:4" x14ac:dyDescent="0.35">
      <c r="A95" s="4">
        <v>45922</v>
      </c>
      <c r="B95" s="1" t="s">
        <v>71</v>
      </c>
      <c r="C95" s="7">
        <v>14000</v>
      </c>
      <c r="D95" s="1" t="s">
        <v>119</v>
      </c>
    </row>
    <row r="96" spans="1:4" x14ac:dyDescent="0.35">
      <c r="A96" s="4">
        <v>45922</v>
      </c>
      <c r="B96" s="1" t="s">
        <v>6</v>
      </c>
      <c r="C96" s="7">
        <v>450</v>
      </c>
      <c r="D96" s="1" t="s">
        <v>120</v>
      </c>
    </row>
    <row r="97" spans="1:4" x14ac:dyDescent="0.35">
      <c r="A97" s="4">
        <v>45922</v>
      </c>
      <c r="B97" s="1" t="s">
        <v>32</v>
      </c>
      <c r="C97" s="7">
        <v>500</v>
      </c>
      <c r="D97" s="1" t="s">
        <v>121</v>
      </c>
    </row>
    <row r="98" spans="1:4" x14ac:dyDescent="0.35">
      <c r="A98" s="4">
        <v>45922</v>
      </c>
      <c r="B98" s="1" t="s">
        <v>68</v>
      </c>
      <c r="C98" s="7">
        <v>5500</v>
      </c>
      <c r="D98" s="1" t="s">
        <v>122</v>
      </c>
    </row>
    <row r="99" spans="1:4" x14ac:dyDescent="0.35">
      <c r="A99" s="4">
        <v>45923</v>
      </c>
      <c r="B99" s="1" t="s">
        <v>32</v>
      </c>
      <c r="C99" s="7">
        <v>500</v>
      </c>
      <c r="D99" s="1" t="s">
        <v>42</v>
      </c>
    </row>
    <row r="100" spans="1:4" x14ac:dyDescent="0.35">
      <c r="A100" s="4">
        <v>45923</v>
      </c>
      <c r="B100" s="1" t="s">
        <v>6</v>
      </c>
      <c r="C100" s="7">
        <v>100</v>
      </c>
      <c r="D100" s="1" t="s">
        <v>123</v>
      </c>
    </row>
    <row r="101" spans="1:4" x14ac:dyDescent="0.35">
      <c r="A101" s="4">
        <v>45923</v>
      </c>
      <c r="B101" s="1" t="s">
        <v>49</v>
      </c>
      <c r="C101" s="7">
        <v>350</v>
      </c>
      <c r="D101" s="1" t="s">
        <v>124</v>
      </c>
    </row>
    <row r="102" spans="1:4" x14ac:dyDescent="0.35">
      <c r="A102" s="4">
        <v>45924</v>
      </c>
      <c r="B102" s="1" t="s">
        <v>6</v>
      </c>
      <c r="C102" s="7">
        <v>2000</v>
      </c>
      <c r="D102" s="1" t="s">
        <v>126</v>
      </c>
    </row>
    <row r="103" spans="1:4" x14ac:dyDescent="0.35">
      <c r="A103" s="4">
        <v>45924</v>
      </c>
      <c r="B103" s="1" t="s">
        <v>26</v>
      </c>
      <c r="C103" s="7">
        <v>385</v>
      </c>
      <c r="D103" s="1" t="s">
        <v>127</v>
      </c>
    </row>
    <row r="104" spans="1:4" x14ac:dyDescent="0.35">
      <c r="A104" s="4">
        <v>45924</v>
      </c>
      <c r="B104" s="1" t="s">
        <v>32</v>
      </c>
      <c r="C104" s="7">
        <v>500</v>
      </c>
      <c r="D104" s="1" t="s">
        <v>121</v>
      </c>
    </row>
    <row r="105" spans="1:4" x14ac:dyDescent="0.35">
      <c r="A105" s="4">
        <v>45924</v>
      </c>
      <c r="B105" s="1" t="s">
        <v>46</v>
      </c>
      <c r="C105" s="7">
        <v>10000</v>
      </c>
      <c r="D105" s="1" t="s">
        <v>111</v>
      </c>
    </row>
    <row r="106" spans="1:4" x14ac:dyDescent="0.35">
      <c r="A106" s="4">
        <v>45925</v>
      </c>
      <c r="B106" s="1" t="s">
        <v>32</v>
      </c>
      <c r="C106" s="7">
        <v>500</v>
      </c>
      <c r="D106" s="1" t="s">
        <v>121</v>
      </c>
    </row>
    <row r="107" spans="1:4" x14ac:dyDescent="0.35">
      <c r="A107" s="4">
        <v>45925</v>
      </c>
      <c r="B107" s="1" t="s">
        <v>38</v>
      </c>
      <c r="C107" s="7">
        <v>150000</v>
      </c>
      <c r="D107" s="1" t="s">
        <v>130</v>
      </c>
    </row>
    <row r="108" spans="1:4" x14ac:dyDescent="0.35">
      <c r="A108" s="4">
        <v>45925</v>
      </c>
      <c r="B108" s="1" t="s">
        <v>129</v>
      </c>
      <c r="C108" s="7">
        <v>200000</v>
      </c>
      <c r="D108" s="1" t="s">
        <v>131</v>
      </c>
    </row>
    <row r="109" spans="1:4" x14ac:dyDescent="0.35">
      <c r="A109" s="4">
        <v>45926</v>
      </c>
      <c r="B109" s="1" t="s">
        <v>32</v>
      </c>
      <c r="C109" s="7">
        <v>500</v>
      </c>
      <c r="D109" s="1" t="s">
        <v>42</v>
      </c>
    </row>
    <row r="110" spans="1:4" x14ac:dyDescent="0.35">
      <c r="A110" s="4">
        <v>45926</v>
      </c>
      <c r="B110" s="1" t="s">
        <v>38</v>
      </c>
      <c r="C110" s="7">
        <v>72000</v>
      </c>
      <c r="D110" s="1" t="s">
        <v>114</v>
      </c>
    </row>
    <row r="111" spans="1:4" x14ac:dyDescent="0.35">
      <c r="A111" s="4">
        <v>45927</v>
      </c>
      <c r="B111" s="1" t="s">
        <v>32</v>
      </c>
      <c r="C111" s="7">
        <v>500</v>
      </c>
      <c r="D111" s="1" t="s">
        <v>42</v>
      </c>
    </row>
    <row r="112" spans="1:4" x14ac:dyDescent="0.35">
      <c r="A112" s="4">
        <v>45927</v>
      </c>
      <c r="B112" s="1" t="s">
        <v>38</v>
      </c>
      <c r="C112" s="7">
        <v>12800</v>
      </c>
      <c r="D112" s="1" t="s">
        <v>132</v>
      </c>
    </row>
    <row r="113" spans="1:4" x14ac:dyDescent="0.35">
      <c r="A113" s="4">
        <v>45927</v>
      </c>
      <c r="B113" s="1" t="s">
        <v>46</v>
      </c>
      <c r="C113" s="7">
        <v>42150</v>
      </c>
      <c r="D113" s="1" t="s">
        <v>133</v>
      </c>
    </row>
    <row r="114" spans="1:4" x14ac:dyDescent="0.35">
      <c r="A114" s="4">
        <v>45927</v>
      </c>
      <c r="B114" s="1" t="s">
        <v>32</v>
      </c>
      <c r="C114" s="7">
        <v>500</v>
      </c>
      <c r="D114" s="1" t="s">
        <v>42</v>
      </c>
    </row>
    <row r="115" spans="1:4" x14ac:dyDescent="0.35">
      <c r="A115" s="4">
        <v>45928</v>
      </c>
      <c r="B115" s="1" t="s">
        <v>52</v>
      </c>
      <c r="C115" s="7">
        <v>800</v>
      </c>
      <c r="D115" s="1" t="s">
        <v>98</v>
      </c>
    </row>
    <row r="116" spans="1:4" x14ac:dyDescent="0.35">
      <c r="A116" s="4">
        <v>45929</v>
      </c>
      <c r="B116" s="1" t="s">
        <v>32</v>
      </c>
      <c r="C116" s="7">
        <v>500</v>
      </c>
      <c r="D116" s="1" t="s">
        <v>42</v>
      </c>
    </row>
    <row r="117" spans="1:4" x14ac:dyDescent="0.35">
      <c r="A117" s="4">
        <v>45929</v>
      </c>
      <c r="B117" s="1" t="s">
        <v>110</v>
      </c>
      <c r="C117" s="7">
        <v>200</v>
      </c>
      <c r="D117" s="1" t="s">
        <v>134</v>
      </c>
    </row>
    <row r="118" spans="1:4" x14ac:dyDescent="0.35">
      <c r="A118" s="4">
        <v>45930</v>
      </c>
      <c r="B118" s="1" t="s">
        <v>40</v>
      </c>
      <c r="C118" s="7">
        <v>550</v>
      </c>
      <c r="D118" s="1" t="s">
        <v>135</v>
      </c>
    </row>
    <row r="119" spans="1:4" x14ac:dyDescent="0.35">
      <c r="A119" s="4">
        <v>45930</v>
      </c>
      <c r="B119" s="1" t="s">
        <v>32</v>
      </c>
      <c r="C119" s="7">
        <v>500</v>
      </c>
      <c r="D119" s="1" t="s">
        <v>42</v>
      </c>
    </row>
    <row r="120" spans="1:4" x14ac:dyDescent="0.35">
      <c r="A120" s="4">
        <v>45931</v>
      </c>
      <c r="B120" s="1" t="s">
        <v>32</v>
      </c>
      <c r="C120" s="7">
        <v>500</v>
      </c>
      <c r="D120" s="1" t="s">
        <v>42</v>
      </c>
    </row>
    <row r="121" spans="1:4" x14ac:dyDescent="0.35">
      <c r="A121" s="4">
        <v>45931</v>
      </c>
      <c r="B121" s="1" t="s">
        <v>110</v>
      </c>
      <c r="C121" s="7">
        <v>100</v>
      </c>
      <c r="D121" s="1" t="s">
        <v>136</v>
      </c>
    </row>
    <row r="122" spans="1:4" x14ac:dyDescent="0.35">
      <c r="A122" s="4">
        <v>45931</v>
      </c>
      <c r="B122" s="1" t="s">
        <v>6</v>
      </c>
      <c r="C122" s="7">
        <v>500</v>
      </c>
      <c r="D122" s="1" t="s">
        <v>137</v>
      </c>
    </row>
    <row r="123" spans="1:4" x14ac:dyDescent="0.35">
      <c r="A123" s="4">
        <v>45931</v>
      </c>
      <c r="B123" s="1" t="s">
        <v>46</v>
      </c>
      <c r="C123" s="7">
        <v>10000</v>
      </c>
      <c r="D123" s="1" t="s">
        <v>138</v>
      </c>
    </row>
    <row r="124" spans="1:4" x14ac:dyDescent="0.35">
      <c r="A124" s="4">
        <v>45932</v>
      </c>
      <c r="B124" s="1" t="s">
        <v>32</v>
      </c>
      <c r="C124" s="7">
        <v>500</v>
      </c>
      <c r="D124" s="1" t="s">
        <v>42</v>
      </c>
    </row>
    <row r="125" spans="1:4" x14ac:dyDescent="0.35">
      <c r="A125" s="4">
        <v>45933</v>
      </c>
      <c r="B125" s="1" t="s">
        <v>32</v>
      </c>
      <c r="C125" s="7">
        <v>500</v>
      </c>
      <c r="D125" s="1" t="s">
        <v>42</v>
      </c>
    </row>
    <row r="126" spans="1:4" x14ac:dyDescent="0.35">
      <c r="A126" s="4">
        <v>45934</v>
      </c>
      <c r="B126" s="1" t="s">
        <v>110</v>
      </c>
      <c r="C126" s="7">
        <v>750</v>
      </c>
      <c r="D126" s="1" t="s">
        <v>136</v>
      </c>
    </row>
    <row r="127" spans="1:4" x14ac:dyDescent="0.35">
      <c r="A127" s="4">
        <v>45934</v>
      </c>
      <c r="B127" s="1" t="s">
        <v>6</v>
      </c>
      <c r="C127" s="7">
        <v>130</v>
      </c>
      <c r="D127" s="1" t="s">
        <v>139</v>
      </c>
    </row>
    <row r="128" spans="1:4" x14ac:dyDescent="0.35">
      <c r="A128" s="4">
        <v>45934</v>
      </c>
      <c r="B128" s="1" t="s">
        <v>38</v>
      </c>
      <c r="C128" s="7">
        <v>22400</v>
      </c>
      <c r="D128" s="1" t="s">
        <v>140</v>
      </c>
    </row>
    <row r="129" spans="1:6" x14ac:dyDescent="0.35">
      <c r="A129" s="4">
        <v>45934</v>
      </c>
      <c r="B129" s="1" t="s">
        <v>46</v>
      </c>
      <c r="C129" s="7">
        <v>35000</v>
      </c>
      <c r="D129" s="1" t="s">
        <v>141</v>
      </c>
      <c r="F129" s="8"/>
    </row>
    <row r="130" spans="1:6" x14ac:dyDescent="0.35">
      <c r="A130" s="4">
        <v>45934</v>
      </c>
      <c r="B130" s="1" t="s">
        <v>49</v>
      </c>
      <c r="C130" s="7">
        <v>20800</v>
      </c>
      <c r="D130" s="1" t="s">
        <v>118</v>
      </c>
    </row>
    <row r="131" spans="1:6" x14ac:dyDescent="0.35">
      <c r="A131" s="4">
        <v>45937</v>
      </c>
      <c r="B131" s="1" t="s">
        <v>32</v>
      </c>
      <c r="C131" s="7">
        <v>1500</v>
      </c>
      <c r="D131" s="1" t="s">
        <v>142</v>
      </c>
    </row>
    <row r="132" spans="1:6" x14ac:dyDescent="0.35">
      <c r="A132" s="4">
        <v>45937</v>
      </c>
      <c r="B132" s="1" t="s">
        <v>52</v>
      </c>
      <c r="C132" s="7">
        <v>1000</v>
      </c>
      <c r="D132" s="1" t="s">
        <v>143</v>
      </c>
    </row>
    <row r="133" spans="1:6" x14ac:dyDescent="0.35">
      <c r="A133" s="4">
        <v>45937</v>
      </c>
      <c r="B133" s="1" t="s">
        <v>46</v>
      </c>
      <c r="C133" s="7">
        <v>2500</v>
      </c>
      <c r="D133" s="1" t="s">
        <v>144</v>
      </c>
    </row>
    <row r="134" spans="1:6" x14ac:dyDescent="0.35">
      <c r="A134" s="4">
        <v>45937</v>
      </c>
      <c r="B134" s="1" t="s">
        <v>49</v>
      </c>
      <c r="C134" s="7">
        <v>100</v>
      </c>
      <c r="D134" s="1" t="s">
        <v>124</v>
      </c>
      <c r="F134" s="8"/>
    </row>
    <row r="135" spans="1:6" x14ac:dyDescent="0.35">
      <c r="A135" s="4">
        <v>45937</v>
      </c>
      <c r="B135" s="1" t="s">
        <v>129</v>
      </c>
      <c r="C135" s="7">
        <v>100000</v>
      </c>
      <c r="D135" s="1" t="s">
        <v>146</v>
      </c>
    </row>
    <row r="136" spans="1:6" x14ac:dyDescent="0.35">
      <c r="A136" s="4">
        <v>45937</v>
      </c>
      <c r="B136" s="1" t="s">
        <v>145</v>
      </c>
      <c r="C136" s="7">
        <v>100000</v>
      </c>
      <c r="D136" s="1" t="s">
        <v>147</v>
      </c>
    </row>
    <row r="137" spans="1:6" x14ac:dyDescent="0.35">
      <c r="A137" s="4">
        <v>45938</v>
      </c>
      <c r="B137" s="1" t="s">
        <v>40</v>
      </c>
      <c r="C137" s="7">
        <v>800</v>
      </c>
      <c r="D137" s="1" t="s">
        <v>149</v>
      </c>
    </row>
    <row r="138" spans="1:6" x14ac:dyDescent="0.35">
      <c r="A138" s="4">
        <v>45938</v>
      </c>
      <c r="B138" s="1" t="s">
        <v>32</v>
      </c>
      <c r="C138" s="7">
        <v>500</v>
      </c>
      <c r="D138" s="1" t="s">
        <v>121</v>
      </c>
    </row>
    <row r="139" spans="1:6" x14ac:dyDescent="0.35">
      <c r="A139" s="4">
        <v>45938</v>
      </c>
      <c r="B139" s="1" t="s">
        <v>30</v>
      </c>
      <c r="C139" s="7">
        <v>880</v>
      </c>
      <c r="D139" s="1" t="s">
        <v>148</v>
      </c>
    </row>
    <row r="140" spans="1:6" x14ac:dyDescent="0.35">
      <c r="A140" s="4">
        <v>45938</v>
      </c>
      <c r="B140" s="1" t="s">
        <v>46</v>
      </c>
      <c r="C140" s="7">
        <v>5000</v>
      </c>
      <c r="D140" s="1" t="s">
        <v>153</v>
      </c>
    </row>
    <row r="141" spans="1:6" x14ac:dyDescent="0.35">
      <c r="A141" s="4">
        <v>45938</v>
      </c>
      <c r="B141" s="1" t="s">
        <v>49</v>
      </c>
      <c r="C141" s="7">
        <v>12000</v>
      </c>
      <c r="D141" s="1" t="s">
        <v>154</v>
      </c>
    </row>
    <row r="142" spans="1:6" x14ac:dyDescent="0.35">
      <c r="A142" s="4">
        <v>45939</v>
      </c>
      <c r="B142" s="1" t="s">
        <v>32</v>
      </c>
      <c r="C142" s="7">
        <v>500</v>
      </c>
      <c r="D142" s="1" t="s">
        <v>121</v>
      </c>
    </row>
    <row r="143" spans="1:6" x14ac:dyDescent="0.35">
      <c r="A143" s="4">
        <v>45940</v>
      </c>
      <c r="B143" s="1" t="s">
        <v>30</v>
      </c>
      <c r="C143" s="7">
        <v>640</v>
      </c>
      <c r="D143" s="1" t="s">
        <v>157</v>
      </c>
    </row>
    <row r="144" spans="1:6" x14ac:dyDescent="0.35">
      <c r="A144" s="4">
        <v>45940</v>
      </c>
      <c r="B144" s="1" t="s">
        <v>110</v>
      </c>
      <c r="C144" s="7">
        <v>700</v>
      </c>
      <c r="D144" s="1" t="s">
        <v>158</v>
      </c>
    </row>
    <row r="145" spans="1:4" x14ac:dyDescent="0.35">
      <c r="A145" s="4">
        <v>45940</v>
      </c>
      <c r="B145" s="1" t="s">
        <v>40</v>
      </c>
      <c r="C145" s="7">
        <v>500</v>
      </c>
      <c r="D145" s="1" t="s">
        <v>159</v>
      </c>
    </row>
    <row r="146" spans="1:4" x14ac:dyDescent="0.35">
      <c r="A146" s="4">
        <v>45940</v>
      </c>
      <c r="B146" s="1" t="s">
        <v>32</v>
      </c>
      <c r="C146" s="7">
        <v>500</v>
      </c>
      <c r="D146" s="1" t="s">
        <v>42</v>
      </c>
    </row>
    <row r="147" spans="1:4" x14ac:dyDescent="0.35">
      <c r="A147" s="4">
        <v>45941</v>
      </c>
      <c r="B147" s="1" t="s">
        <v>38</v>
      </c>
      <c r="C147" s="7">
        <v>100000</v>
      </c>
      <c r="D147" s="1" t="s">
        <v>130</v>
      </c>
    </row>
    <row r="148" spans="1:4" x14ac:dyDescent="0.35">
      <c r="A148" s="4">
        <v>45941</v>
      </c>
      <c r="B148" s="1" t="s">
        <v>38</v>
      </c>
      <c r="C148" s="7">
        <v>171800</v>
      </c>
      <c r="D148" s="1" t="s">
        <v>160</v>
      </c>
    </row>
    <row r="149" spans="1:4" x14ac:dyDescent="0.35">
      <c r="A149" s="4">
        <v>45941</v>
      </c>
      <c r="B149" s="1" t="s">
        <v>32</v>
      </c>
      <c r="C149" s="7">
        <v>500</v>
      </c>
      <c r="D149" s="1" t="s">
        <v>121</v>
      </c>
    </row>
    <row r="150" spans="1:4" x14ac:dyDescent="0.35">
      <c r="A150" s="4">
        <v>45941</v>
      </c>
      <c r="B150" s="1" t="s">
        <v>68</v>
      </c>
      <c r="C150" s="7">
        <v>7000</v>
      </c>
      <c r="D150" s="1" t="s">
        <v>161</v>
      </c>
    </row>
    <row r="151" spans="1:4" x14ac:dyDescent="0.35">
      <c r="A151" s="4">
        <v>45941</v>
      </c>
      <c r="B151" s="1" t="s">
        <v>46</v>
      </c>
      <c r="C151" s="7">
        <v>49900</v>
      </c>
      <c r="D151" s="1" t="s">
        <v>92</v>
      </c>
    </row>
    <row r="152" spans="1:4" x14ac:dyDescent="0.35">
      <c r="A152" s="4">
        <v>45941</v>
      </c>
      <c r="B152" s="1" t="s">
        <v>49</v>
      </c>
      <c r="C152" s="7">
        <v>15750</v>
      </c>
      <c r="D152" s="1" t="s">
        <v>118</v>
      </c>
    </row>
    <row r="153" spans="1:4" x14ac:dyDescent="0.35">
      <c r="A153" s="4">
        <v>45941</v>
      </c>
      <c r="B153" s="1" t="s">
        <v>38</v>
      </c>
      <c r="C153" s="7">
        <v>14750</v>
      </c>
      <c r="D153" s="1" t="s">
        <v>162</v>
      </c>
    </row>
    <row r="154" spans="1:4" x14ac:dyDescent="0.35">
      <c r="A154" s="4">
        <v>45942</v>
      </c>
      <c r="B154" s="1" t="s">
        <v>32</v>
      </c>
      <c r="C154" s="7">
        <v>500</v>
      </c>
      <c r="D154" s="1" t="s">
        <v>42</v>
      </c>
    </row>
    <row r="155" spans="1:4" x14ac:dyDescent="0.35">
      <c r="A155" s="4">
        <v>45942</v>
      </c>
      <c r="B155" s="1" t="s">
        <v>110</v>
      </c>
      <c r="C155" s="7">
        <v>300</v>
      </c>
      <c r="D155" s="1" t="s">
        <v>163</v>
      </c>
    </row>
    <row r="156" spans="1:4" x14ac:dyDescent="0.35">
      <c r="A156" s="4">
        <v>45943</v>
      </c>
      <c r="B156" s="1" t="s">
        <v>32</v>
      </c>
      <c r="C156" s="7">
        <v>500</v>
      </c>
      <c r="D156" s="1" t="s">
        <v>42</v>
      </c>
    </row>
    <row r="157" spans="1:4" x14ac:dyDescent="0.35">
      <c r="A157" s="4">
        <v>45943</v>
      </c>
      <c r="B157" s="1" t="s">
        <v>90</v>
      </c>
      <c r="C157" s="7">
        <v>7200</v>
      </c>
      <c r="D157" s="1" t="s">
        <v>164</v>
      </c>
    </row>
    <row r="158" spans="1:4" x14ac:dyDescent="0.35">
      <c r="A158" s="4">
        <v>45943</v>
      </c>
      <c r="B158" s="1" t="s">
        <v>40</v>
      </c>
      <c r="C158" s="7">
        <v>500</v>
      </c>
      <c r="D158" s="1" t="s">
        <v>149</v>
      </c>
    </row>
    <row r="159" spans="1:4" x14ac:dyDescent="0.35">
      <c r="A159" s="4">
        <v>45944</v>
      </c>
      <c r="B159" s="1" t="s">
        <v>32</v>
      </c>
      <c r="C159" s="7">
        <v>500</v>
      </c>
      <c r="D159" s="1" t="s">
        <v>42</v>
      </c>
    </row>
    <row r="160" spans="1:4" x14ac:dyDescent="0.35">
      <c r="A160" s="4">
        <v>45944</v>
      </c>
      <c r="B160" s="1" t="s">
        <v>52</v>
      </c>
      <c r="C160" s="7">
        <v>1300</v>
      </c>
      <c r="D160" s="1" t="s">
        <v>98</v>
      </c>
    </row>
    <row r="161" spans="1:9" x14ac:dyDescent="0.35">
      <c r="A161" s="4">
        <v>45944</v>
      </c>
      <c r="B161" s="1" t="s">
        <v>49</v>
      </c>
      <c r="C161" s="7">
        <v>300</v>
      </c>
      <c r="D161" s="1" t="s">
        <v>165</v>
      </c>
    </row>
    <row r="162" spans="1:9" x14ac:dyDescent="0.35">
      <c r="A162" s="4">
        <v>45945</v>
      </c>
      <c r="B162" s="1" t="s">
        <v>6</v>
      </c>
      <c r="C162" s="7">
        <v>2000</v>
      </c>
      <c r="D162" s="1" t="s">
        <v>166</v>
      </c>
    </row>
    <row r="163" spans="1:9" x14ac:dyDescent="0.35">
      <c r="A163" s="4">
        <v>45946</v>
      </c>
      <c r="B163" s="1" t="s">
        <v>32</v>
      </c>
      <c r="C163" s="7">
        <v>500</v>
      </c>
      <c r="D163" s="1" t="s">
        <v>42</v>
      </c>
    </row>
    <row r="164" spans="1:9" x14ac:dyDescent="0.35">
      <c r="A164" s="4">
        <v>45946</v>
      </c>
      <c r="B164" s="1" t="s">
        <v>6</v>
      </c>
      <c r="C164" s="7">
        <v>200</v>
      </c>
      <c r="D164" s="1" t="s">
        <v>167</v>
      </c>
    </row>
    <row r="165" spans="1:9" x14ac:dyDescent="0.35">
      <c r="A165" s="4">
        <v>45946</v>
      </c>
      <c r="B165" s="1" t="s">
        <v>52</v>
      </c>
      <c r="C165" s="7">
        <v>100</v>
      </c>
      <c r="D165" s="1" t="s">
        <v>168</v>
      </c>
    </row>
    <row r="166" spans="1:9" x14ac:dyDescent="0.35">
      <c r="A166" s="4">
        <v>45946</v>
      </c>
      <c r="B166" s="1" t="s">
        <v>56</v>
      </c>
      <c r="C166" s="7">
        <v>500</v>
      </c>
      <c r="D166" s="1" t="s">
        <v>169</v>
      </c>
    </row>
    <row r="167" spans="1:9" x14ac:dyDescent="0.35">
      <c r="A167" s="4">
        <v>45946</v>
      </c>
      <c r="B167" s="1" t="s">
        <v>71</v>
      </c>
      <c r="C167" s="7">
        <v>600</v>
      </c>
      <c r="D167" s="1" t="s">
        <v>170</v>
      </c>
    </row>
    <row r="168" spans="1:9" x14ac:dyDescent="0.35">
      <c r="A168" s="4">
        <v>45947</v>
      </c>
      <c r="B168" s="1" t="s">
        <v>106</v>
      </c>
      <c r="C168" s="7">
        <v>4000</v>
      </c>
      <c r="D168" s="1" t="s">
        <v>171</v>
      </c>
    </row>
    <row r="169" spans="1:9" x14ac:dyDescent="0.35">
      <c r="A169" s="22">
        <v>45947</v>
      </c>
      <c r="B169" s="21" t="s">
        <v>46</v>
      </c>
      <c r="C169" s="23">
        <v>30850</v>
      </c>
      <c r="D169" s="21" t="s">
        <v>92</v>
      </c>
    </row>
    <row r="170" spans="1:9" x14ac:dyDescent="0.35">
      <c r="A170" s="4">
        <v>45947</v>
      </c>
      <c r="B170" s="1" t="s">
        <v>49</v>
      </c>
      <c r="C170" s="7">
        <v>39450</v>
      </c>
      <c r="D170" s="1" t="s">
        <v>172</v>
      </c>
      <c r="I170" s="8"/>
    </row>
    <row r="171" spans="1:9" x14ac:dyDescent="0.35">
      <c r="A171" s="4">
        <v>45947</v>
      </c>
      <c r="B171" s="1" t="s">
        <v>49</v>
      </c>
      <c r="C171" s="7">
        <v>1200</v>
      </c>
      <c r="D171" s="1" t="s">
        <v>173</v>
      </c>
    </row>
    <row r="172" spans="1:9" x14ac:dyDescent="0.35">
      <c r="A172" s="4">
        <v>45947</v>
      </c>
      <c r="B172" s="1" t="s">
        <v>71</v>
      </c>
      <c r="C172" s="7">
        <v>15000</v>
      </c>
      <c r="D172" s="1" t="s">
        <v>174</v>
      </c>
    </row>
    <row r="173" spans="1:9" x14ac:dyDescent="0.35">
      <c r="A173" s="4">
        <v>45947</v>
      </c>
      <c r="B173" s="1" t="s">
        <v>49</v>
      </c>
      <c r="C173" s="7">
        <v>600</v>
      </c>
      <c r="D173" s="1" t="s">
        <v>181</v>
      </c>
      <c r="I173" s="8"/>
    </row>
    <row r="174" spans="1:9" x14ac:dyDescent="0.35">
      <c r="A174" s="4">
        <v>45948</v>
      </c>
      <c r="B174" s="1" t="s">
        <v>52</v>
      </c>
      <c r="C174" s="7">
        <v>1100</v>
      </c>
      <c r="D174" s="1" t="s">
        <v>143</v>
      </c>
    </row>
    <row r="175" spans="1:9" x14ac:dyDescent="0.35">
      <c r="A175" s="4">
        <v>45948</v>
      </c>
      <c r="B175" s="1" t="s">
        <v>175</v>
      </c>
      <c r="C175" s="7">
        <v>9800</v>
      </c>
      <c r="D175" s="1" t="s">
        <v>177</v>
      </c>
    </row>
    <row r="176" spans="1:9" x14ac:dyDescent="0.35">
      <c r="A176" s="4">
        <v>45955</v>
      </c>
      <c r="B176" s="1" t="s">
        <v>38</v>
      </c>
      <c r="C176" s="7">
        <v>50000</v>
      </c>
      <c r="D176" s="1" t="s">
        <v>179</v>
      </c>
      <c r="I176" s="8"/>
    </row>
    <row r="177" spans="1:9" x14ac:dyDescent="0.35">
      <c r="A177" s="4">
        <v>45955</v>
      </c>
      <c r="B177" s="1" t="s">
        <v>38</v>
      </c>
      <c r="C177" s="7">
        <v>27775</v>
      </c>
      <c r="D177" s="1" t="s">
        <v>180</v>
      </c>
      <c r="I177" s="8"/>
    </row>
    <row r="178" spans="1:9" x14ac:dyDescent="0.35">
      <c r="A178" s="4">
        <v>45957</v>
      </c>
      <c r="B178" s="1" t="s">
        <v>68</v>
      </c>
      <c r="C178" s="7">
        <v>4500</v>
      </c>
      <c r="D178" s="1" t="s">
        <v>198</v>
      </c>
      <c r="I178" s="8"/>
    </row>
    <row r="179" spans="1:9" x14ac:dyDescent="0.35">
      <c r="A179" s="4">
        <v>41211</v>
      </c>
      <c r="B179" s="1" t="s">
        <v>110</v>
      </c>
      <c r="C179" s="7">
        <v>380</v>
      </c>
      <c r="D179" s="1"/>
      <c r="I179" s="8"/>
    </row>
    <row r="180" spans="1:9" x14ac:dyDescent="0.35">
      <c r="A180" s="4">
        <v>45962</v>
      </c>
      <c r="B180" s="1" t="s">
        <v>30</v>
      </c>
      <c r="C180" s="7">
        <v>900</v>
      </c>
      <c r="D180" s="1" t="s">
        <v>183</v>
      </c>
    </row>
    <row r="181" spans="1:9" x14ac:dyDescent="0.35">
      <c r="A181" s="4">
        <v>45962</v>
      </c>
      <c r="B181" s="1" t="s">
        <v>32</v>
      </c>
      <c r="C181" s="7">
        <v>500</v>
      </c>
      <c r="D181" s="1" t="s">
        <v>184</v>
      </c>
    </row>
    <row r="182" spans="1:9" x14ac:dyDescent="0.35">
      <c r="A182" s="4">
        <v>45962</v>
      </c>
      <c r="B182" s="1" t="s">
        <v>46</v>
      </c>
      <c r="C182" s="7">
        <v>1900</v>
      </c>
      <c r="D182" s="1" t="s">
        <v>92</v>
      </c>
    </row>
    <row r="183" spans="1:9" x14ac:dyDescent="0.35">
      <c r="A183" s="4">
        <v>45962</v>
      </c>
      <c r="B183" s="1" t="s">
        <v>49</v>
      </c>
      <c r="C183" s="7">
        <v>5500</v>
      </c>
      <c r="D183" s="1" t="s">
        <v>185</v>
      </c>
    </row>
    <row r="184" spans="1:9" x14ac:dyDescent="0.35">
      <c r="A184" s="4">
        <v>45962</v>
      </c>
      <c r="B184" s="1" t="s">
        <v>49</v>
      </c>
      <c r="C184" s="7">
        <v>250</v>
      </c>
      <c r="D184" s="1" t="s">
        <v>124</v>
      </c>
    </row>
    <row r="185" spans="1:9" x14ac:dyDescent="0.35">
      <c r="A185" s="4">
        <v>45964</v>
      </c>
      <c r="B185" s="1" t="s">
        <v>32</v>
      </c>
      <c r="C185" s="7">
        <v>500</v>
      </c>
      <c r="D185" s="1" t="s">
        <v>184</v>
      </c>
    </row>
    <row r="186" spans="1:9" x14ac:dyDescent="0.35">
      <c r="A186" s="4">
        <v>45965</v>
      </c>
      <c r="B186" s="1" t="s">
        <v>32</v>
      </c>
      <c r="C186" s="7">
        <v>500</v>
      </c>
      <c r="D186" s="1" t="s">
        <v>186</v>
      </c>
      <c r="H186" s="8"/>
    </row>
    <row r="187" spans="1:9" x14ac:dyDescent="0.35">
      <c r="A187" s="4">
        <v>45966</v>
      </c>
      <c r="B187" s="1" t="s">
        <v>32</v>
      </c>
      <c r="C187" s="7">
        <v>500</v>
      </c>
      <c r="D187" s="1" t="s">
        <v>187</v>
      </c>
    </row>
    <row r="188" spans="1:9" x14ac:dyDescent="0.35">
      <c r="A188" s="4">
        <v>45966</v>
      </c>
      <c r="B188" s="1" t="s">
        <v>46</v>
      </c>
      <c r="C188" s="7">
        <v>3000</v>
      </c>
      <c r="D188" s="1" t="s">
        <v>188</v>
      </c>
    </row>
    <row r="189" spans="1:9" x14ac:dyDescent="0.35">
      <c r="A189" s="4">
        <v>45966</v>
      </c>
      <c r="B189" s="1" t="s">
        <v>49</v>
      </c>
      <c r="C189" s="7">
        <v>5000</v>
      </c>
      <c r="D189" s="1" t="s">
        <v>192</v>
      </c>
    </row>
    <row r="190" spans="1:9" x14ac:dyDescent="0.35">
      <c r="A190" s="4">
        <v>45967</v>
      </c>
      <c r="B190" s="1" t="s">
        <v>32</v>
      </c>
      <c r="C190" s="7">
        <v>500</v>
      </c>
      <c r="D190" s="1" t="s">
        <v>121</v>
      </c>
    </row>
    <row r="191" spans="1:9" x14ac:dyDescent="0.35">
      <c r="A191" s="4">
        <v>45968</v>
      </c>
      <c r="B191" s="1" t="s">
        <v>32</v>
      </c>
      <c r="C191" s="7">
        <v>500</v>
      </c>
      <c r="D191" s="1" t="s">
        <v>121</v>
      </c>
      <c r="H191" s="8"/>
    </row>
    <row r="192" spans="1:9" x14ac:dyDescent="0.35">
      <c r="A192" s="4">
        <v>45968</v>
      </c>
      <c r="B192" s="1" t="s">
        <v>6</v>
      </c>
      <c r="C192" s="7">
        <v>250</v>
      </c>
      <c r="D192" s="1" t="s">
        <v>189</v>
      </c>
      <c r="H192" s="8"/>
    </row>
    <row r="193" spans="1:8" x14ac:dyDescent="0.35">
      <c r="A193" s="4">
        <v>45969</v>
      </c>
      <c r="B193" s="1" t="s">
        <v>46</v>
      </c>
      <c r="C193" s="7">
        <v>28750</v>
      </c>
      <c r="D193" s="1" t="s">
        <v>190</v>
      </c>
      <c r="H193" s="8"/>
    </row>
    <row r="194" spans="1:8" x14ac:dyDescent="0.35">
      <c r="A194" s="4">
        <v>45969</v>
      </c>
      <c r="B194" s="1" t="s">
        <v>49</v>
      </c>
      <c r="C194" s="7">
        <v>19700</v>
      </c>
      <c r="D194" s="1" t="s">
        <v>191</v>
      </c>
    </row>
    <row r="195" spans="1:8" x14ac:dyDescent="0.35">
      <c r="A195" s="4">
        <v>45969</v>
      </c>
      <c r="B195" s="1" t="s">
        <v>106</v>
      </c>
      <c r="C195" s="7">
        <v>7000</v>
      </c>
      <c r="D195" s="1" t="s">
        <v>193</v>
      </c>
    </row>
    <row r="196" spans="1:8" x14ac:dyDescent="0.35">
      <c r="A196" s="4">
        <v>45969</v>
      </c>
      <c r="B196" s="1" t="s">
        <v>38</v>
      </c>
      <c r="C196" s="7">
        <v>50000</v>
      </c>
      <c r="D196" s="1" t="s">
        <v>179</v>
      </c>
    </row>
    <row r="197" spans="1:8" x14ac:dyDescent="0.35">
      <c r="A197" s="4">
        <v>45969</v>
      </c>
      <c r="B197" s="1" t="s">
        <v>49</v>
      </c>
      <c r="C197" s="7">
        <v>300</v>
      </c>
      <c r="D197" s="1" t="s">
        <v>194</v>
      </c>
    </row>
    <row r="198" spans="1:8" x14ac:dyDescent="0.35">
      <c r="A198" s="4">
        <v>45969</v>
      </c>
      <c r="B198" s="1" t="s">
        <v>52</v>
      </c>
      <c r="C198" s="7">
        <v>2200</v>
      </c>
      <c r="D198" s="1" t="s">
        <v>195</v>
      </c>
      <c r="H198" s="8"/>
    </row>
    <row r="199" spans="1:8" x14ac:dyDescent="0.35">
      <c r="A199" s="4">
        <v>45972</v>
      </c>
      <c r="B199" s="1" t="s">
        <v>32</v>
      </c>
      <c r="C199" s="7">
        <v>1000</v>
      </c>
      <c r="D199" s="1" t="s">
        <v>42</v>
      </c>
      <c r="H199" s="8"/>
    </row>
    <row r="200" spans="1:8" x14ac:dyDescent="0.35">
      <c r="A200" s="4">
        <v>45972</v>
      </c>
      <c r="B200" s="1" t="s">
        <v>110</v>
      </c>
      <c r="C200" s="7">
        <v>100</v>
      </c>
      <c r="D200" s="1" t="s">
        <v>196</v>
      </c>
    </row>
    <row r="201" spans="1:8" x14ac:dyDescent="0.35">
      <c r="A201" s="4">
        <v>45972</v>
      </c>
      <c r="B201" s="1" t="s">
        <v>56</v>
      </c>
      <c r="C201" s="7">
        <v>500</v>
      </c>
      <c r="D201" s="1" t="s">
        <v>169</v>
      </c>
    </row>
    <row r="202" spans="1:8" x14ac:dyDescent="0.35">
      <c r="A202" s="4">
        <v>45972</v>
      </c>
      <c r="B202" s="1" t="s">
        <v>6</v>
      </c>
      <c r="C202" s="7">
        <v>250</v>
      </c>
      <c r="D202" s="1" t="s">
        <v>197</v>
      </c>
    </row>
    <row r="203" spans="1:8" x14ac:dyDescent="0.35">
      <c r="A203" s="4">
        <v>45973</v>
      </c>
      <c r="B203" s="1" t="s">
        <v>32</v>
      </c>
      <c r="C203" s="7">
        <v>500</v>
      </c>
      <c r="D203" s="1" t="s">
        <v>121</v>
      </c>
    </row>
    <row r="204" spans="1:8" x14ac:dyDescent="0.35">
      <c r="A204" s="4">
        <v>45973</v>
      </c>
      <c r="B204" s="1" t="s">
        <v>46</v>
      </c>
      <c r="C204" s="7">
        <v>4000</v>
      </c>
      <c r="D204" s="1" t="s">
        <v>199</v>
      </c>
    </row>
    <row r="205" spans="1:8" x14ac:dyDescent="0.35">
      <c r="A205" s="4">
        <v>45975</v>
      </c>
      <c r="B205" s="1" t="s">
        <v>32</v>
      </c>
      <c r="C205" s="7">
        <v>500</v>
      </c>
      <c r="D205" s="1" t="s">
        <v>42</v>
      </c>
    </row>
    <row r="206" spans="1:8" x14ac:dyDescent="0.35">
      <c r="A206" s="4">
        <v>45976</v>
      </c>
      <c r="B206" s="1" t="s">
        <v>49</v>
      </c>
      <c r="C206" s="7">
        <v>19500</v>
      </c>
      <c r="D206" s="1" t="s">
        <v>200</v>
      </c>
    </row>
    <row r="207" spans="1:8" x14ac:dyDescent="0.35">
      <c r="A207" s="4">
        <v>45976</v>
      </c>
      <c r="B207" s="1" t="s">
        <v>32</v>
      </c>
      <c r="C207" s="7">
        <v>500</v>
      </c>
      <c r="D207" s="1" t="s">
        <v>42</v>
      </c>
    </row>
    <row r="208" spans="1:8" x14ac:dyDescent="0.35">
      <c r="A208" s="4">
        <v>45976</v>
      </c>
      <c r="B208" s="1" t="s">
        <v>106</v>
      </c>
      <c r="C208" s="7">
        <v>4000</v>
      </c>
      <c r="D208" s="1" t="s">
        <v>201</v>
      </c>
    </row>
    <row r="209" spans="1:8" x14ac:dyDescent="0.35">
      <c r="A209" s="4">
        <v>45976</v>
      </c>
      <c r="B209" s="1" t="s">
        <v>46</v>
      </c>
      <c r="C209" s="7">
        <v>33600</v>
      </c>
      <c r="D209" s="1" t="s">
        <v>202</v>
      </c>
    </row>
    <row r="210" spans="1:8" x14ac:dyDescent="0.35">
      <c r="A210" s="4">
        <v>45976</v>
      </c>
      <c r="B210" s="1" t="s">
        <v>38</v>
      </c>
      <c r="C210" s="7">
        <v>33630</v>
      </c>
      <c r="D210" s="1" t="s">
        <v>203</v>
      </c>
    </row>
    <row r="211" spans="1:8" x14ac:dyDescent="0.35">
      <c r="A211" s="4">
        <v>45976</v>
      </c>
      <c r="B211" s="1" t="s">
        <v>71</v>
      </c>
      <c r="C211" s="7">
        <v>15000</v>
      </c>
      <c r="D211" s="1" t="s">
        <v>174</v>
      </c>
    </row>
    <row r="212" spans="1:8" x14ac:dyDescent="0.35">
      <c r="A212" s="4">
        <v>45977</v>
      </c>
      <c r="B212" s="1" t="s">
        <v>32</v>
      </c>
      <c r="C212" s="7">
        <v>500</v>
      </c>
      <c r="D212" s="1" t="s">
        <v>121</v>
      </c>
    </row>
    <row r="213" spans="1:8" x14ac:dyDescent="0.35">
      <c r="A213" s="4">
        <v>45978</v>
      </c>
      <c r="B213" s="1" t="s">
        <v>49</v>
      </c>
      <c r="C213" s="7">
        <v>250</v>
      </c>
      <c r="D213" s="1" t="s">
        <v>194</v>
      </c>
    </row>
    <row r="214" spans="1:8" x14ac:dyDescent="0.35">
      <c r="A214" s="4">
        <v>45978</v>
      </c>
      <c r="B214" s="1" t="s">
        <v>32</v>
      </c>
      <c r="C214" s="7">
        <v>500</v>
      </c>
      <c r="D214" s="1" t="s">
        <v>42</v>
      </c>
    </row>
    <row r="215" spans="1:8" x14ac:dyDescent="0.35">
      <c r="A215" s="4">
        <v>45979</v>
      </c>
      <c r="B215" s="1" t="s">
        <v>26</v>
      </c>
      <c r="C215" s="7">
        <v>100</v>
      </c>
      <c r="D215" s="1" t="s">
        <v>204</v>
      </c>
    </row>
    <row r="216" spans="1:8" x14ac:dyDescent="0.35">
      <c r="A216" s="4">
        <v>45980</v>
      </c>
      <c r="B216" s="1" t="s">
        <v>46</v>
      </c>
      <c r="C216" s="7">
        <v>5000</v>
      </c>
      <c r="D216" s="1" t="s">
        <v>205</v>
      </c>
    </row>
    <row r="217" spans="1:8" x14ac:dyDescent="0.35">
      <c r="A217" s="4">
        <v>45983</v>
      </c>
      <c r="B217" s="1" t="s">
        <v>46</v>
      </c>
      <c r="C217" s="7">
        <v>43650</v>
      </c>
      <c r="D217" s="1" t="s">
        <v>207</v>
      </c>
    </row>
    <row r="218" spans="1:8" x14ac:dyDescent="0.35">
      <c r="A218" s="4">
        <v>45983</v>
      </c>
      <c r="B218" s="1" t="s">
        <v>32</v>
      </c>
      <c r="C218" s="7">
        <v>1000</v>
      </c>
      <c r="D218" s="1" t="s">
        <v>42</v>
      </c>
    </row>
    <row r="219" spans="1:8" x14ac:dyDescent="0.35">
      <c r="A219" s="4">
        <v>45985</v>
      </c>
      <c r="B219" s="1" t="s">
        <v>26</v>
      </c>
      <c r="C219" s="7">
        <v>500</v>
      </c>
      <c r="D219" s="1" t="s">
        <v>208</v>
      </c>
    </row>
    <row r="220" spans="1:8" x14ac:dyDescent="0.35">
      <c r="A220" s="4">
        <v>45986</v>
      </c>
      <c r="B220" s="1" t="s">
        <v>40</v>
      </c>
      <c r="C220" s="7">
        <v>500</v>
      </c>
      <c r="D220" s="1" t="s">
        <v>209</v>
      </c>
    </row>
    <row r="221" spans="1:8" x14ac:dyDescent="0.35">
      <c r="A221" s="4">
        <v>45987</v>
      </c>
      <c r="B221" s="1" t="s">
        <v>32</v>
      </c>
      <c r="C221" s="7">
        <v>500</v>
      </c>
      <c r="D221" s="1" t="s">
        <v>121</v>
      </c>
    </row>
    <row r="222" spans="1:8" x14ac:dyDescent="0.35">
      <c r="A222" s="4">
        <v>45987</v>
      </c>
      <c r="B222" s="1" t="s">
        <v>26</v>
      </c>
      <c r="C222" s="7">
        <v>270</v>
      </c>
      <c r="D222" s="1" t="s">
        <v>210</v>
      </c>
    </row>
    <row r="223" spans="1:8" x14ac:dyDescent="0.35">
      <c r="A223" s="4">
        <v>45987</v>
      </c>
      <c r="B223" s="1" t="s">
        <v>46</v>
      </c>
      <c r="C223" s="7">
        <v>5000</v>
      </c>
      <c r="D223" s="1" t="s">
        <v>211</v>
      </c>
      <c r="H223" s="8"/>
    </row>
    <row r="224" spans="1:8" x14ac:dyDescent="0.35">
      <c r="A224" s="24">
        <v>45987</v>
      </c>
      <c r="B224" s="25" t="s">
        <v>52</v>
      </c>
      <c r="C224" s="26">
        <v>2000</v>
      </c>
      <c r="D224" s="25" t="s">
        <v>195</v>
      </c>
    </row>
    <row r="225" spans="1:10" x14ac:dyDescent="0.35">
      <c r="A225" s="4">
        <v>45990</v>
      </c>
      <c r="B225" s="1" t="s">
        <v>46</v>
      </c>
      <c r="C225" s="7">
        <v>12200</v>
      </c>
      <c r="D225" s="1" t="s">
        <v>212</v>
      </c>
    </row>
    <row r="226" spans="1:10" x14ac:dyDescent="0.35">
      <c r="A226" s="4">
        <v>45990</v>
      </c>
      <c r="B226" s="1" t="s">
        <v>49</v>
      </c>
      <c r="C226" s="7">
        <v>13300</v>
      </c>
      <c r="D226" s="1" t="s">
        <v>213</v>
      </c>
    </row>
    <row r="227" spans="1:10" x14ac:dyDescent="0.35">
      <c r="A227" s="4">
        <v>45990</v>
      </c>
      <c r="B227" s="1" t="s">
        <v>49</v>
      </c>
      <c r="C227" s="7">
        <v>400</v>
      </c>
      <c r="D227" s="1" t="s">
        <v>124</v>
      </c>
    </row>
    <row r="228" spans="1:10" x14ac:dyDescent="0.35">
      <c r="A228" s="4">
        <v>45993</v>
      </c>
      <c r="B228" s="1" t="s">
        <v>32</v>
      </c>
      <c r="C228" s="7">
        <v>500</v>
      </c>
      <c r="D228" s="1" t="s">
        <v>121</v>
      </c>
    </row>
    <row r="229" spans="1:10" x14ac:dyDescent="0.35">
      <c r="A229" s="4">
        <v>45996</v>
      </c>
      <c r="B229" s="1" t="s">
        <v>32</v>
      </c>
      <c r="C229" s="7">
        <v>1500</v>
      </c>
      <c r="D229" s="1" t="s">
        <v>215</v>
      </c>
      <c r="E229" t="s">
        <v>216</v>
      </c>
    </row>
    <row r="230" spans="1:10" x14ac:dyDescent="0.35">
      <c r="A230" s="4">
        <v>45997</v>
      </c>
      <c r="B230" s="1" t="s">
        <v>46</v>
      </c>
      <c r="C230" s="7">
        <v>40950</v>
      </c>
      <c r="D230" s="1" t="s">
        <v>217</v>
      </c>
    </row>
    <row r="231" spans="1:10" x14ac:dyDescent="0.35">
      <c r="A231" s="4">
        <v>45997</v>
      </c>
      <c r="B231" s="1" t="s">
        <v>49</v>
      </c>
      <c r="C231" s="7">
        <v>5000</v>
      </c>
      <c r="D231" s="1" t="s">
        <v>218</v>
      </c>
    </row>
    <row r="232" spans="1:10" x14ac:dyDescent="0.35">
      <c r="A232" s="4">
        <v>45997</v>
      </c>
      <c r="B232" s="1" t="s">
        <v>38</v>
      </c>
      <c r="C232" s="7">
        <v>50000</v>
      </c>
      <c r="D232" s="1" t="s">
        <v>219</v>
      </c>
      <c r="J232" s="8"/>
    </row>
    <row r="233" spans="1:10" x14ac:dyDescent="0.35">
      <c r="A233" s="4">
        <v>45997</v>
      </c>
      <c r="B233" s="1" t="s">
        <v>38</v>
      </c>
      <c r="C233" s="7">
        <v>50000</v>
      </c>
      <c r="D233" s="1" t="s">
        <v>162</v>
      </c>
      <c r="H233" s="8"/>
      <c r="I233" s="8"/>
      <c r="J233" s="8"/>
    </row>
    <row r="234" spans="1:10" x14ac:dyDescent="0.35">
      <c r="A234" s="4">
        <v>45997</v>
      </c>
      <c r="B234" s="1" t="s">
        <v>220</v>
      </c>
      <c r="C234" s="7">
        <v>20000</v>
      </c>
      <c r="D234" s="1" t="s">
        <v>222</v>
      </c>
    </row>
    <row r="235" spans="1:10" x14ac:dyDescent="0.35">
      <c r="A235" s="4">
        <v>45997</v>
      </c>
      <c r="B235" s="1" t="s">
        <v>221</v>
      </c>
      <c r="C235" s="7">
        <v>10000</v>
      </c>
      <c r="D235" s="1" t="s">
        <v>223</v>
      </c>
    </row>
    <row r="236" spans="1:10" x14ac:dyDescent="0.35">
      <c r="A236" s="4">
        <v>46000</v>
      </c>
      <c r="B236" s="1" t="s">
        <v>32</v>
      </c>
      <c r="C236" s="7">
        <v>500</v>
      </c>
      <c r="D236" s="1" t="s">
        <v>121</v>
      </c>
    </row>
    <row r="237" spans="1:10" x14ac:dyDescent="0.35">
      <c r="A237" s="4">
        <v>46000</v>
      </c>
      <c r="B237" s="1" t="s">
        <v>68</v>
      </c>
      <c r="C237" s="7">
        <v>10000</v>
      </c>
      <c r="D237" s="1" t="s">
        <v>224</v>
      </c>
    </row>
    <row r="238" spans="1:10" x14ac:dyDescent="0.35">
      <c r="A238" s="4">
        <v>46001</v>
      </c>
      <c r="B238" s="1" t="s">
        <v>52</v>
      </c>
      <c r="C238" s="7">
        <v>90</v>
      </c>
      <c r="D238" s="1" t="s">
        <v>225</v>
      </c>
    </row>
    <row r="239" spans="1:10" x14ac:dyDescent="0.35">
      <c r="A239" s="4">
        <v>46001</v>
      </c>
      <c r="B239" s="1" t="s">
        <v>46</v>
      </c>
      <c r="C239" s="7">
        <v>5000</v>
      </c>
      <c r="D239" s="1" t="s">
        <v>226</v>
      </c>
      <c r="H239" s="8"/>
    </row>
    <row r="240" spans="1:10" x14ac:dyDescent="0.35">
      <c r="A240" s="4">
        <v>46001</v>
      </c>
      <c r="B240" s="1" t="s">
        <v>32</v>
      </c>
      <c r="C240" s="7">
        <v>1500</v>
      </c>
      <c r="D240" s="1" t="s">
        <v>121</v>
      </c>
    </row>
    <row r="241" spans="1:4" x14ac:dyDescent="0.35">
      <c r="A241" s="4">
        <v>46001</v>
      </c>
      <c r="B241" s="1" t="s">
        <v>26</v>
      </c>
      <c r="C241" s="7">
        <v>250</v>
      </c>
      <c r="D241" s="1" t="s">
        <v>208</v>
      </c>
    </row>
    <row r="242" spans="1:4" x14ac:dyDescent="0.35">
      <c r="A242" s="4">
        <v>46001</v>
      </c>
      <c r="B242" s="1" t="s">
        <v>30</v>
      </c>
      <c r="C242" s="7">
        <v>75</v>
      </c>
      <c r="D242" s="1" t="s">
        <v>227</v>
      </c>
    </row>
    <row r="243" spans="1:4" x14ac:dyDescent="0.35">
      <c r="A243" s="4">
        <v>46001</v>
      </c>
      <c r="B243" s="1" t="s">
        <v>49</v>
      </c>
      <c r="C243" s="7">
        <v>7000</v>
      </c>
      <c r="D243" s="1"/>
    </row>
    <row r="244" spans="1:4" x14ac:dyDescent="0.35">
      <c r="A244" s="4">
        <v>46002</v>
      </c>
      <c r="B244" s="1" t="s">
        <v>32</v>
      </c>
      <c r="C244" s="7">
        <v>500</v>
      </c>
      <c r="D244" s="1" t="s">
        <v>121</v>
      </c>
    </row>
    <row r="245" spans="1:4" x14ac:dyDescent="0.35">
      <c r="A245" s="4">
        <v>46002</v>
      </c>
      <c r="B245" s="1" t="s">
        <v>52</v>
      </c>
      <c r="C245" s="7">
        <v>1500</v>
      </c>
      <c r="D245" s="1" t="s">
        <v>228</v>
      </c>
    </row>
    <row r="246" spans="1:4" x14ac:dyDescent="0.35">
      <c r="A246" s="4">
        <v>46004</v>
      </c>
      <c r="B246" s="1" t="s">
        <v>32</v>
      </c>
      <c r="C246" s="7">
        <v>500</v>
      </c>
      <c r="D246" s="1" t="s">
        <v>42</v>
      </c>
    </row>
    <row r="247" spans="1:4" x14ac:dyDescent="0.35">
      <c r="A247" s="4">
        <v>46004</v>
      </c>
      <c r="B247" s="1" t="s">
        <v>32</v>
      </c>
      <c r="C247" s="7">
        <v>500</v>
      </c>
      <c r="D247" s="1" t="s">
        <v>229</v>
      </c>
    </row>
    <row r="248" spans="1:4" x14ac:dyDescent="0.35">
      <c r="A248" s="4">
        <v>46004</v>
      </c>
      <c r="B248" s="1" t="s">
        <v>106</v>
      </c>
      <c r="C248" s="7">
        <v>3000</v>
      </c>
      <c r="D248" s="1" t="s">
        <v>230</v>
      </c>
    </row>
    <row r="249" spans="1:4" x14ac:dyDescent="0.35">
      <c r="A249" s="4">
        <v>46004</v>
      </c>
      <c r="B249" s="1" t="s">
        <v>49</v>
      </c>
      <c r="C249" s="7">
        <v>200</v>
      </c>
      <c r="D249" s="1" t="s">
        <v>231</v>
      </c>
    </row>
    <row r="250" spans="1:4" x14ac:dyDescent="0.35">
      <c r="A250" s="4">
        <v>46004</v>
      </c>
      <c r="B250" s="1" t="s">
        <v>46</v>
      </c>
      <c r="C250" s="7">
        <v>41150</v>
      </c>
      <c r="D250" s="1" t="s">
        <v>232</v>
      </c>
    </row>
    <row r="251" spans="1:4" x14ac:dyDescent="0.35">
      <c r="A251" s="4">
        <v>46004</v>
      </c>
      <c r="B251" s="1" t="s">
        <v>221</v>
      </c>
      <c r="C251" s="7">
        <v>30000</v>
      </c>
      <c r="D251" s="1" t="s">
        <v>233</v>
      </c>
    </row>
    <row r="252" spans="1:4" x14ac:dyDescent="0.35">
      <c r="A252" s="4">
        <v>46004</v>
      </c>
      <c r="B252" s="1" t="s">
        <v>49</v>
      </c>
      <c r="C252" s="7">
        <v>350</v>
      </c>
      <c r="D252" s="1" t="s">
        <v>234</v>
      </c>
    </row>
    <row r="253" spans="1:4" x14ac:dyDescent="0.35">
      <c r="A253" s="4">
        <v>46006</v>
      </c>
      <c r="B253" s="1" t="s">
        <v>32</v>
      </c>
      <c r="C253" s="7">
        <v>600</v>
      </c>
      <c r="D253" s="1" t="s">
        <v>42</v>
      </c>
    </row>
    <row r="254" spans="1:4" x14ac:dyDescent="0.35">
      <c r="A254" s="4">
        <v>46007</v>
      </c>
      <c r="B254" s="1" t="s">
        <v>32</v>
      </c>
      <c r="C254" s="7">
        <v>500</v>
      </c>
      <c r="D254" s="1" t="s">
        <v>42</v>
      </c>
    </row>
    <row r="255" spans="1:4" x14ac:dyDescent="0.35">
      <c r="A255" s="4">
        <v>46008</v>
      </c>
      <c r="B255" s="1" t="s">
        <v>32</v>
      </c>
      <c r="C255" s="7">
        <v>500</v>
      </c>
      <c r="D255" s="1" t="s">
        <v>42</v>
      </c>
    </row>
    <row r="256" spans="1:4" x14ac:dyDescent="0.35">
      <c r="A256" s="4">
        <v>46008</v>
      </c>
      <c r="B256" s="1" t="s">
        <v>46</v>
      </c>
      <c r="C256" s="7">
        <v>10000</v>
      </c>
      <c r="D256" s="1" t="s">
        <v>235</v>
      </c>
    </row>
    <row r="257" spans="1:5" x14ac:dyDescent="0.35">
      <c r="A257" s="4">
        <v>46009</v>
      </c>
      <c r="B257" s="1" t="s">
        <v>32</v>
      </c>
      <c r="C257" s="7">
        <v>500</v>
      </c>
      <c r="D257" s="1" t="s">
        <v>42</v>
      </c>
    </row>
    <row r="258" spans="1:5" x14ac:dyDescent="0.35">
      <c r="A258" s="4">
        <v>46009</v>
      </c>
      <c r="B258" s="1" t="s">
        <v>26</v>
      </c>
      <c r="C258" s="7">
        <v>450</v>
      </c>
      <c r="D258" s="1" t="s">
        <v>120</v>
      </c>
      <c r="E258" t="s">
        <v>236</v>
      </c>
    </row>
    <row r="259" spans="1:5" x14ac:dyDescent="0.35">
      <c r="A259" s="4">
        <v>46011</v>
      </c>
      <c r="B259" s="1" t="s">
        <v>46</v>
      </c>
      <c r="C259" s="7">
        <v>22800</v>
      </c>
      <c r="D259" s="1" t="s">
        <v>237</v>
      </c>
    </row>
    <row r="260" spans="1:5" x14ac:dyDescent="0.35">
      <c r="A260" s="4">
        <v>46011</v>
      </c>
      <c r="B260" s="1" t="s">
        <v>49</v>
      </c>
      <c r="C260" s="7">
        <v>2000</v>
      </c>
      <c r="D260" s="1" t="s">
        <v>238</v>
      </c>
    </row>
    <row r="261" spans="1:5" x14ac:dyDescent="0.35">
      <c r="A261" s="4">
        <v>46011</v>
      </c>
      <c r="B261" s="1" t="s">
        <v>106</v>
      </c>
      <c r="C261" s="7">
        <v>8000</v>
      </c>
      <c r="D261" s="1" t="s">
        <v>230</v>
      </c>
    </row>
    <row r="262" spans="1:5" x14ac:dyDescent="0.35">
      <c r="A262" s="4">
        <v>46011</v>
      </c>
      <c r="B262" s="1" t="s">
        <v>38</v>
      </c>
      <c r="C262" s="7">
        <v>50000</v>
      </c>
      <c r="D262" s="1" t="s">
        <v>179</v>
      </c>
    </row>
    <row r="263" spans="1:5" x14ac:dyDescent="0.35">
      <c r="A263" s="4">
        <v>46011</v>
      </c>
      <c r="B263" s="1" t="s">
        <v>32</v>
      </c>
      <c r="C263" s="7">
        <v>500</v>
      </c>
      <c r="D263" s="1" t="s">
        <v>121</v>
      </c>
    </row>
    <row r="264" spans="1:5" x14ac:dyDescent="0.35">
      <c r="A264" s="4">
        <v>46013</v>
      </c>
      <c r="B264" s="1" t="s">
        <v>110</v>
      </c>
      <c r="C264" s="7">
        <v>200</v>
      </c>
      <c r="D264" s="1" t="s">
        <v>239</v>
      </c>
    </row>
    <row r="265" spans="1:5" x14ac:dyDescent="0.35">
      <c r="A265" s="4">
        <v>46013</v>
      </c>
      <c r="B265" s="1" t="s">
        <v>32</v>
      </c>
      <c r="C265" s="7">
        <v>1000</v>
      </c>
      <c r="D265" s="1" t="s">
        <v>240</v>
      </c>
    </row>
    <row r="266" spans="1:5" x14ac:dyDescent="0.35">
      <c r="A266" s="4">
        <v>46016</v>
      </c>
      <c r="B266" s="1" t="s">
        <v>32</v>
      </c>
      <c r="C266" s="7">
        <v>500</v>
      </c>
      <c r="D266" s="1" t="s">
        <v>42</v>
      </c>
    </row>
    <row r="267" spans="1:5" x14ac:dyDescent="0.35">
      <c r="A267" s="4">
        <v>46016</v>
      </c>
      <c r="B267" s="1" t="s">
        <v>46</v>
      </c>
      <c r="C267" s="7">
        <v>5000</v>
      </c>
      <c r="D267" s="1" t="s">
        <v>111</v>
      </c>
    </row>
    <row r="268" spans="1:5" x14ac:dyDescent="0.35">
      <c r="A268" s="4">
        <v>46016</v>
      </c>
      <c r="B268" s="1" t="s">
        <v>26</v>
      </c>
      <c r="C268" s="7">
        <v>130</v>
      </c>
      <c r="D268" s="1" t="s">
        <v>241</v>
      </c>
    </row>
    <row r="269" spans="1:5" x14ac:dyDescent="0.35">
      <c r="A269" s="4">
        <v>46017</v>
      </c>
      <c r="B269" s="1" t="s">
        <v>32</v>
      </c>
      <c r="C269" s="7">
        <v>500</v>
      </c>
      <c r="D269" s="1" t="s">
        <v>121</v>
      </c>
    </row>
    <row r="270" spans="1:5" x14ac:dyDescent="0.35">
      <c r="A270" s="4">
        <v>46018</v>
      </c>
      <c r="B270" s="1" t="s">
        <v>220</v>
      </c>
      <c r="C270" s="7">
        <v>15000</v>
      </c>
      <c r="D270" s="1" t="s">
        <v>242</v>
      </c>
    </row>
    <row r="271" spans="1:5" x14ac:dyDescent="0.35">
      <c r="A271" s="4">
        <v>46018</v>
      </c>
      <c r="B271" s="1" t="s">
        <v>46</v>
      </c>
      <c r="C271" s="7">
        <v>39000</v>
      </c>
      <c r="D271" s="1" t="s">
        <v>243</v>
      </c>
    </row>
    <row r="272" spans="1:5" x14ac:dyDescent="0.35">
      <c r="A272" s="4">
        <v>46018</v>
      </c>
      <c r="B272" s="1" t="s">
        <v>32</v>
      </c>
      <c r="C272" s="7">
        <v>500</v>
      </c>
      <c r="D272" s="1" t="s">
        <v>121</v>
      </c>
    </row>
    <row r="273" spans="1:4" x14ac:dyDescent="0.35">
      <c r="A273" s="4">
        <v>46020</v>
      </c>
      <c r="B273" s="1" t="s">
        <v>38</v>
      </c>
      <c r="C273" s="7">
        <v>15000</v>
      </c>
      <c r="D273" s="1" t="s">
        <v>132</v>
      </c>
    </row>
    <row r="274" spans="1:4" x14ac:dyDescent="0.35">
      <c r="A274" s="4">
        <v>46020</v>
      </c>
      <c r="B274" s="1" t="s">
        <v>52</v>
      </c>
      <c r="C274" s="7">
        <v>2000</v>
      </c>
      <c r="D274" s="1" t="s">
        <v>244</v>
      </c>
    </row>
    <row r="275" spans="1:4" x14ac:dyDescent="0.35">
      <c r="A275" s="4">
        <v>46021</v>
      </c>
      <c r="B275" s="1" t="s">
        <v>32</v>
      </c>
      <c r="C275" s="7">
        <v>500</v>
      </c>
      <c r="D275" s="1" t="s">
        <v>42</v>
      </c>
    </row>
    <row r="276" spans="1:4" x14ac:dyDescent="0.35">
      <c r="A276" s="4">
        <v>46023</v>
      </c>
      <c r="B276" s="1" t="s">
        <v>32</v>
      </c>
      <c r="C276" s="7">
        <v>500</v>
      </c>
      <c r="D276" s="1" t="s">
        <v>245</v>
      </c>
    </row>
    <row r="277" spans="1:4" x14ac:dyDescent="0.35">
      <c r="A277" s="4">
        <v>46025</v>
      </c>
      <c r="B277" s="1" t="s">
        <v>32</v>
      </c>
      <c r="C277" s="7">
        <v>500</v>
      </c>
      <c r="D277" s="1" t="s">
        <v>33</v>
      </c>
    </row>
    <row r="278" spans="1:4" x14ac:dyDescent="0.35">
      <c r="A278" s="4">
        <v>46025</v>
      </c>
      <c r="B278" s="1" t="s">
        <v>46</v>
      </c>
      <c r="C278" s="7">
        <v>21050</v>
      </c>
      <c r="D278" s="1" t="s">
        <v>247</v>
      </c>
    </row>
    <row r="279" spans="1:4" x14ac:dyDescent="0.35">
      <c r="A279" s="4">
        <v>46025</v>
      </c>
      <c r="B279" s="1" t="s">
        <v>106</v>
      </c>
      <c r="C279" s="7">
        <v>2000</v>
      </c>
      <c r="D279" s="1" t="s">
        <v>248</v>
      </c>
    </row>
    <row r="280" spans="1:4" x14ac:dyDescent="0.35">
      <c r="A280" s="4">
        <v>46026</v>
      </c>
      <c r="B280" s="1" t="s">
        <v>32</v>
      </c>
      <c r="C280" s="7">
        <v>500</v>
      </c>
      <c r="D280" s="1" t="s">
        <v>121</v>
      </c>
    </row>
    <row r="281" spans="1:4" x14ac:dyDescent="0.35">
      <c r="A281" s="4">
        <v>46028</v>
      </c>
      <c r="B281" s="1" t="s">
        <v>249</v>
      </c>
      <c r="C281" s="7">
        <v>3000</v>
      </c>
      <c r="D281" s="1" t="s">
        <v>250</v>
      </c>
    </row>
    <row r="282" spans="1:4" x14ac:dyDescent="0.35">
      <c r="A282" s="4">
        <v>46029</v>
      </c>
      <c r="B282" s="1" t="s">
        <v>26</v>
      </c>
      <c r="C282" s="7">
        <v>560</v>
      </c>
      <c r="D282" s="1" t="s">
        <v>251</v>
      </c>
    </row>
    <row r="283" spans="1:4" x14ac:dyDescent="0.35">
      <c r="A283" s="4">
        <v>46029</v>
      </c>
      <c r="B283" s="1" t="s">
        <v>46</v>
      </c>
      <c r="C283" s="7">
        <v>4000</v>
      </c>
      <c r="D283" s="1" t="s">
        <v>252</v>
      </c>
    </row>
    <row r="284" spans="1:4" x14ac:dyDescent="0.35">
      <c r="A284" s="4">
        <v>46029</v>
      </c>
      <c r="B284" s="1" t="s">
        <v>32</v>
      </c>
      <c r="C284" s="7">
        <v>500</v>
      </c>
      <c r="D284" s="1" t="s">
        <v>42</v>
      </c>
    </row>
    <row r="285" spans="1:4" x14ac:dyDescent="0.35">
      <c r="A285" s="4">
        <v>46029</v>
      </c>
      <c r="B285" s="1" t="s">
        <v>32</v>
      </c>
      <c r="C285" s="7">
        <v>500</v>
      </c>
      <c r="D285" s="1" t="s">
        <v>42</v>
      </c>
    </row>
    <row r="286" spans="1:4" x14ac:dyDescent="0.35">
      <c r="A286" s="4">
        <v>46031</v>
      </c>
      <c r="B286" s="1" t="s">
        <v>32</v>
      </c>
      <c r="C286" s="7">
        <v>500</v>
      </c>
      <c r="D286" s="1" t="s">
        <v>42</v>
      </c>
    </row>
    <row r="287" spans="1:4" x14ac:dyDescent="0.35">
      <c r="A287" s="4">
        <v>46032</v>
      </c>
      <c r="B287" s="1" t="s">
        <v>46</v>
      </c>
      <c r="C287" s="7">
        <v>25550</v>
      </c>
      <c r="D287" s="1" t="s">
        <v>255</v>
      </c>
    </row>
    <row r="288" spans="1:4" x14ac:dyDescent="0.35">
      <c r="A288" s="4">
        <v>46032</v>
      </c>
      <c r="B288" s="1" t="s">
        <v>106</v>
      </c>
      <c r="C288" s="7">
        <v>4000</v>
      </c>
      <c r="D288" s="1" t="s">
        <v>256</v>
      </c>
    </row>
    <row r="289" spans="1:4" x14ac:dyDescent="0.35">
      <c r="A289" s="4">
        <v>46032</v>
      </c>
      <c r="B289" s="1" t="s">
        <v>38</v>
      </c>
      <c r="C289" s="7">
        <v>31850</v>
      </c>
      <c r="D289" s="1" t="s">
        <v>132</v>
      </c>
    </row>
    <row r="290" spans="1:4" x14ac:dyDescent="0.35">
      <c r="A290" s="4">
        <v>46032</v>
      </c>
      <c r="B290" s="1" t="s">
        <v>38</v>
      </c>
      <c r="C290" s="7">
        <v>38950</v>
      </c>
      <c r="D290" s="1" t="s">
        <v>257</v>
      </c>
    </row>
    <row r="291" spans="1:4" x14ac:dyDescent="0.35">
      <c r="A291" s="4">
        <v>46033</v>
      </c>
      <c r="B291" s="1" t="s">
        <v>32</v>
      </c>
      <c r="C291" s="7">
        <v>500</v>
      </c>
      <c r="D291" s="1" t="s">
        <v>258</v>
      </c>
    </row>
    <row r="292" spans="1:4" x14ac:dyDescent="0.35">
      <c r="A292" s="4">
        <v>46034</v>
      </c>
      <c r="B292" s="1" t="s">
        <v>32</v>
      </c>
      <c r="C292" s="7">
        <v>500</v>
      </c>
      <c r="D292" s="1" t="s">
        <v>42</v>
      </c>
    </row>
    <row r="293" spans="1:4" x14ac:dyDescent="0.35">
      <c r="A293" s="4">
        <v>46034</v>
      </c>
      <c r="B293" s="1" t="s">
        <v>52</v>
      </c>
      <c r="C293" s="7">
        <v>1200</v>
      </c>
      <c r="D293" s="1" t="s">
        <v>259</v>
      </c>
    </row>
    <row r="294" spans="1:4" x14ac:dyDescent="0.35">
      <c r="A294" s="4">
        <v>46035</v>
      </c>
      <c r="B294" s="1" t="s">
        <v>249</v>
      </c>
      <c r="C294" s="7">
        <v>9000</v>
      </c>
      <c r="D294" s="1" t="s">
        <v>250</v>
      </c>
    </row>
    <row r="295" spans="1:4" x14ac:dyDescent="0.35">
      <c r="A295" s="4">
        <v>46036</v>
      </c>
      <c r="B295" s="1" t="s">
        <v>249</v>
      </c>
      <c r="C295" s="7">
        <v>34000</v>
      </c>
      <c r="D295" s="1" t="s">
        <v>260</v>
      </c>
    </row>
    <row r="296" spans="1:4" x14ac:dyDescent="0.35">
      <c r="A296" s="4">
        <v>46036</v>
      </c>
      <c r="B296" s="1" t="s">
        <v>46</v>
      </c>
      <c r="C296" s="7">
        <v>4000</v>
      </c>
      <c r="D296" s="1" t="s">
        <v>261</v>
      </c>
    </row>
    <row r="297" spans="1:4" x14ac:dyDescent="0.35">
      <c r="A297" s="4">
        <v>46036</v>
      </c>
      <c r="B297" s="1" t="s">
        <v>108</v>
      </c>
      <c r="C297" s="7">
        <v>3000</v>
      </c>
      <c r="D297" s="1" t="s">
        <v>262</v>
      </c>
    </row>
    <row r="298" spans="1:4" x14ac:dyDescent="0.35">
      <c r="A298" s="4">
        <v>46036</v>
      </c>
      <c r="B298" s="1" t="s">
        <v>273</v>
      </c>
      <c r="C298" s="7">
        <v>1000</v>
      </c>
      <c r="D298" s="1" t="s">
        <v>263</v>
      </c>
    </row>
    <row r="299" spans="1:4" x14ac:dyDescent="0.35">
      <c r="A299" s="4">
        <v>46040</v>
      </c>
      <c r="B299" s="1" t="s">
        <v>46</v>
      </c>
      <c r="C299" s="7">
        <v>500</v>
      </c>
      <c r="D299" s="1" t="s">
        <v>264</v>
      </c>
    </row>
    <row r="300" spans="1:4" x14ac:dyDescent="0.35">
      <c r="A300" s="4">
        <v>46040</v>
      </c>
      <c r="B300" s="1" t="s">
        <v>32</v>
      </c>
      <c r="C300" s="7">
        <v>500</v>
      </c>
      <c r="D300" s="1" t="s">
        <v>42</v>
      </c>
    </row>
    <row r="301" spans="1:4" x14ac:dyDescent="0.35">
      <c r="A301" s="4">
        <v>46041</v>
      </c>
      <c r="B301" s="1" t="s">
        <v>46</v>
      </c>
      <c r="C301" s="7">
        <v>4400</v>
      </c>
      <c r="D301" s="1" t="s">
        <v>265</v>
      </c>
    </row>
    <row r="302" spans="1:4" x14ac:dyDescent="0.35">
      <c r="A302" s="4">
        <v>46041</v>
      </c>
      <c r="B302" s="1" t="s">
        <v>6</v>
      </c>
      <c r="C302" s="7">
        <v>250</v>
      </c>
      <c r="D302" s="1" t="s">
        <v>266</v>
      </c>
    </row>
    <row r="303" spans="1:4" x14ac:dyDescent="0.35">
      <c r="A303" s="4">
        <v>46042</v>
      </c>
      <c r="B303" s="1" t="s">
        <v>46</v>
      </c>
      <c r="C303" s="7">
        <v>20000</v>
      </c>
      <c r="D303" s="1" t="s">
        <v>267</v>
      </c>
    </row>
    <row r="304" spans="1:4" x14ac:dyDescent="0.35">
      <c r="A304" s="4">
        <v>46043</v>
      </c>
      <c r="B304" s="1" t="s">
        <v>108</v>
      </c>
      <c r="C304" s="7">
        <v>3000</v>
      </c>
      <c r="D304" s="1" t="s">
        <v>268</v>
      </c>
    </row>
    <row r="305" spans="1:6" x14ac:dyDescent="0.35">
      <c r="A305" s="4">
        <v>46044</v>
      </c>
      <c r="B305" s="1" t="s">
        <v>32</v>
      </c>
      <c r="C305" s="7">
        <v>1000</v>
      </c>
      <c r="D305" s="1" t="s">
        <v>269</v>
      </c>
      <c r="F305" s="8"/>
    </row>
    <row r="306" spans="1:6" x14ac:dyDescent="0.35">
      <c r="A306" s="4">
        <v>46044</v>
      </c>
      <c r="B306" s="1" t="s">
        <v>46</v>
      </c>
      <c r="C306" s="7">
        <v>2000</v>
      </c>
      <c r="D306" s="1" t="s">
        <v>261</v>
      </c>
    </row>
    <row r="307" spans="1:6" x14ac:dyDescent="0.35">
      <c r="A307" s="4">
        <v>46046</v>
      </c>
      <c r="B307" s="1" t="s">
        <v>46</v>
      </c>
      <c r="C307" s="7">
        <v>30300</v>
      </c>
      <c r="D307" s="1" t="s">
        <v>270</v>
      </c>
    </row>
    <row r="308" spans="1:6" x14ac:dyDescent="0.35">
      <c r="A308" s="4">
        <v>46046</v>
      </c>
      <c r="B308" s="1" t="s">
        <v>106</v>
      </c>
      <c r="C308" s="7">
        <v>7000</v>
      </c>
      <c r="D308" s="1" t="s">
        <v>271</v>
      </c>
    </row>
    <row r="309" spans="1:6" x14ac:dyDescent="0.35">
      <c r="A309" s="4">
        <v>46046</v>
      </c>
      <c r="B309" s="1" t="s">
        <v>108</v>
      </c>
      <c r="C309" s="7">
        <v>5000</v>
      </c>
      <c r="D309" s="1" t="s">
        <v>272</v>
      </c>
    </row>
    <row r="310" spans="1:6" x14ac:dyDescent="0.35">
      <c r="A310" s="4">
        <v>46046</v>
      </c>
      <c r="B310" s="1" t="s">
        <v>273</v>
      </c>
      <c r="C310" s="7">
        <v>500</v>
      </c>
      <c r="D310" s="1" t="s">
        <v>274</v>
      </c>
    </row>
    <row r="311" spans="1:6" x14ac:dyDescent="0.35">
      <c r="A311" s="4">
        <v>46047</v>
      </c>
      <c r="B311" s="1" t="s">
        <v>32</v>
      </c>
      <c r="C311" s="7">
        <v>500</v>
      </c>
      <c r="D311" s="1" t="s">
        <v>121</v>
      </c>
    </row>
    <row r="312" spans="1:6" x14ac:dyDescent="0.35">
      <c r="A312" s="4">
        <v>46049</v>
      </c>
      <c r="B312" s="1" t="s">
        <v>32</v>
      </c>
      <c r="C312" s="7">
        <v>500</v>
      </c>
      <c r="D312" s="1" t="s">
        <v>275</v>
      </c>
    </row>
    <row r="313" spans="1:6" x14ac:dyDescent="0.35">
      <c r="A313" s="4">
        <v>46049</v>
      </c>
      <c r="B313" s="1" t="s">
        <v>32</v>
      </c>
      <c r="C313" s="7">
        <v>500</v>
      </c>
      <c r="D313" s="1" t="s">
        <v>276</v>
      </c>
    </row>
    <row r="314" spans="1:6" x14ac:dyDescent="0.35">
      <c r="A314" s="4">
        <v>46049</v>
      </c>
      <c r="B314" s="1" t="s">
        <v>26</v>
      </c>
      <c r="C314" s="7">
        <v>500</v>
      </c>
      <c r="D314" s="1" t="s">
        <v>277</v>
      </c>
    </row>
    <row r="315" spans="1:6" x14ac:dyDescent="0.35">
      <c r="A315" s="4">
        <v>46051</v>
      </c>
      <c r="B315" s="1" t="s">
        <v>273</v>
      </c>
      <c r="C315" s="7">
        <v>630</v>
      </c>
      <c r="D315" s="1" t="s">
        <v>278</v>
      </c>
    </row>
    <row r="316" spans="1:6" x14ac:dyDescent="0.35">
      <c r="A316" s="4">
        <v>46051</v>
      </c>
      <c r="B316" s="1" t="s">
        <v>108</v>
      </c>
      <c r="C316" s="7">
        <v>2000</v>
      </c>
      <c r="D316" s="1" t="s">
        <v>279</v>
      </c>
    </row>
    <row r="317" spans="1:6" x14ac:dyDescent="0.35">
      <c r="A317" s="4">
        <v>46051</v>
      </c>
      <c r="B317" s="1" t="s">
        <v>46</v>
      </c>
      <c r="C317" s="7">
        <v>2000</v>
      </c>
      <c r="D317" s="1" t="s">
        <v>279</v>
      </c>
    </row>
    <row r="318" spans="1:6" x14ac:dyDescent="0.35">
      <c r="A318" s="4">
        <v>46052</v>
      </c>
      <c r="B318" s="1" t="s">
        <v>52</v>
      </c>
      <c r="C318" s="7">
        <v>80</v>
      </c>
      <c r="D318" s="1" t="s">
        <v>225</v>
      </c>
    </row>
    <row r="319" spans="1:6" x14ac:dyDescent="0.35">
      <c r="A319" s="4">
        <v>46052</v>
      </c>
      <c r="B319" s="1" t="s">
        <v>32</v>
      </c>
      <c r="C319" s="7">
        <v>500</v>
      </c>
      <c r="D319" s="1" t="s">
        <v>42</v>
      </c>
    </row>
    <row r="320" spans="1:6" x14ac:dyDescent="0.35">
      <c r="A320" s="4">
        <v>46053</v>
      </c>
      <c r="B320" s="1" t="s">
        <v>46</v>
      </c>
      <c r="C320" s="7">
        <v>36100</v>
      </c>
      <c r="D320" s="1" t="s">
        <v>92</v>
      </c>
    </row>
    <row r="321" spans="1:4" x14ac:dyDescent="0.35">
      <c r="A321" s="4">
        <v>46053</v>
      </c>
      <c r="B321" s="1" t="s">
        <v>106</v>
      </c>
      <c r="C321" s="7">
        <v>2000</v>
      </c>
      <c r="D321" s="1" t="s">
        <v>280</v>
      </c>
    </row>
    <row r="322" spans="1:4" x14ac:dyDescent="0.35">
      <c r="A322" s="4">
        <v>46053</v>
      </c>
      <c r="B322" s="1" t="s">
        <v>108</v>
      </c>
      <c r="C322" s="7">
        <v>12000</v>
      </c>
      <c r="D322" s="1" t="s">
        <v>281</v>
      </c>
    </row>
    <row r="323" spans="1:4" x14ac:dyDescent="0.35">
      <c r="A323" s="4">
        <v>46053</v>
      </c>
      <c r="B323" s="1" t="s">
        <v>220</v>
      </c>
      <c r="C323" s="7">
        <v>20000</v>
      </c>
      <c r="D323" s="1" t="s">
        <v>282</v>
      </c>
    </row>
    <row r="324" spans="1:4" x14ac:dyDescent="0.35">
      <c r="A324" s="4">
        <v>46053</v>
      </c>
      <c r="B324" s="1" t="s">
        <v>175</v>
      </c>
      <c r="C324" s="7">
        <v>30000</v>
      </c>
      <c r="D324" s="1" t="s">
        <v>283</v>
      </c>
    </row>
    <row r="325" spans="1:4" x14ac:dyDescent="0.35">
      <c r="A325" s="4">
        <v>46055</v>
      </c>
      <c r="B325" s="1" t="s">
        <v>52</v>
      </c>
      <c r="C325" s="7">
        <v>1000</v>
      </c>
      <c r="D325" s="1" t="s">
        <v>284</v>
      </c>
    </row>
    <row r="326" spans="1:4" x14ac:dyDescent="0.35">
      <c r="A326" s="4">
        <v>46055</v>
      </c>
      <c r="B326" s="1" t="s">
        <v>32</v>
      </c>
      <c r="C326" s="7">
        <v>500</v>
      </c>
      <c r="D326" s="1" t="s">
        <v>42</v>
      </c>
    </row>
    <row r="327" spans="1:4" x14ac:dyDescent="0.35">
      <c r="A327" s="4">
        <v>46055</v>
      </c>
      <c r="B327" s="1" t="s">
        <v>52</v>
      </c>
      <c r="C327" s="7">
        <v>40</v>
      </c>
      <c r="D327" s="1" t="s">
        <v>225</v>
      </c>
    </row>
    <row r="328" spans="1:4" x14ac:dyDescent="0.35">
      <c r="A328" s="4">
        <v>46056</v>
      </c>
      <c r="B328" s="1" t="s">
        <v>38</v>
      </c>
      <c r="C328" s="7">
        <v>50000</v>
      </c>
      <c r="D328" s="1" t="s">
        <v>179</v>
      </c>
    </row>
    <row r="329" spans="1:4" x14ac:dyDescent="0.35">
      <c r="A329" s="4">
        <v>46056</v>
      </c>
      <c r="B329" s="1" t="s">
        <v>32</v>
      </c>
      <c r="C329" s="7">
        <v>500</v>
      </c>
      <c r="D329" s="1" t="s">
        <v>42</v>
      </c>
    </row>
    <row r="330" spans="1:4" x14ac:dyDescent="0.35">
      <c r="A330" s="4">
        <v>46058</v>
      </c>
      <c r="B330" s="1" t="s">
        <v>46</v>
      </c>
      <c r="C330" s="7">
        <v>5000</v>
      </c>
      <c r="D330" s="1" t="s">
        <v>285</v>
      </c>
    </row>
    <row r="331" spans="1:4" x14ac:dyDescent="0.35">
      <c r="A331" s="4">
        <v>46060</v>
      </c>
      <c r="B331" s="1" t="s">
        <v>46</v>
      </c>
      <c r="C331" s="7">
        <v>44550</v>
      </c>
      <c r="D331" s="1" t="s">
        <v>286</v>
      </c>
    </row>
    <row r="332" spans="1:4" x14ac:dyDescent="0.35">
      <c r="A332" s="4">
        <v>46060</v>
      </c>
      <c r="B332" s="1" t="s">
        <v>32</v>
      </c>
      <c r="C332" s="7">
        <v>1000</v>
      </c>
      <c r="D332" s="1" t="s">
        <v>42</v>
      </c>
    </row>
    <row r="333" spans="1:4" x14ac:dyDescent="0.35">
      <c r="A333" s="4">
        <v>46060</v>
      </c>
      <c r="B333" s="1" t="s">
        <v>26</v>
      </c>
      <c r="C333" s="7">
        <v>100</v>
      </c>
      <c r="D333" s="1" t="s">
        <v>204</v>
      </c>
    </row>
    <row r="334" spans="1:4" x14ac:dyDescent="0.35">
      <c r="A334" s="4">
        <v>46060</v>
      </c>
      <c r="B334" s="1" t="s">
        <v>108</v>
      </c>
      <c r="C334" s="7">
        <v>3000</v>
      </c>
      <c r="D334" s="1" t="s">
        <v>262</v>
      </c>
    </row>
    <row r="335" spans="1:4" x14ac:dyDescent="0.35">
      <c r="A335" s="4">
        <v>46060</v>
      </c>
      <c r="B335" s="1" t="s">
        <v>220</v>
      </c>
      <c r="C335" s="7">
        <v>10000</v>
      </c>
      <c r="D335" s="1" t="s">
        <v>287</v>
      </c>
    </row>
    <row r="336" spans="1:4" x14ac:dyDescent="0.35">
      <c r="A336" s="4">
        <v>46060</v>
      </c>
      <c r="B336" s="1" t="s">
        <v>38</v>
      </c>
      <c r="C336" s="7">
        <v>100000</v>
      </c>
      <c r="D336" s="1" t="s">
        <v>179</v>
      </c>
    </row>
    <row r="337" spans="1:4" x14ac:dyDescent="0.35">
      <c r="A337" s="4">
        <v>46062</v>
      </c>
      <c r="B337" s="1" t="s">
        <v>32</v>
      </c>
      <c r="C337" s="7">
        <v>500</v>
      </c>
      <c r="D337" s="1" t="s">
        <v>121</v>
      </c>
    </row>
    <row r="338" spans="1:4" x14ac:dyDescent="0.35">
      <c r="A338" s="4">
        <v>46065</v>
      </c>
      <c r="B338" s="1" t="s">
        <v>32</v>
      </c>
      <c r="C338" s="7">
        <v>1000</v>
      </c>
      <c r="D338" s="1" t="s">
        <v>42</v>
      </c>
    </row>
    <row r="339" spans="1:4" x14ac:dyDescent="0.35">
      <c r="A339" s="4">
        <v>46065</v>
      </c>
      <c r="B339" s="1" t="s">
        <v>46</v>
      </c>
      <c r="C339" s="7">
        <v>5000</v>
      </c>
      <c r="D339" s="1" t="s">
        <v>261</v>
      </c>
    </row>
    <row r="340" spans="1:4" x14ac:dyDescent="0.35">
      <c r="A340" s="4">
        <v>46065</v>
      </c>
      <c r="B340" s="1" t="s">
        <v>6</v>
      </c>
      <c r="C340" s="7">
        <v>110</v>
      </c>
      <c r="D340" s="1" t="s">
        <v>289</v>
      </c>
    </row>
    <row r="341" spans="1:4" x14ac:dyDescent="0.35">
      <c r="A341" s="4">
        <v>46065</v>
      </c>
      <c r="B341" s="1" t="s">
        <v>6</v>
      </c>
      <c r="C341" s="7">
        <v>200</v>
      </c>
      <c r="D341" s="1" t="s">
        <v>290</v>
      </c>
    </row>
    <row r="342" spans="1:4" x14ac:dyDescent="0.35">
      <c r="A342" s="4">
        <v>46067</v>
      </c>
      <c r="B342" s="1" t="s">
        <v>46</v>
      </c>
      <c r="C342" s="7">
        <v>36700</v>
      </c>
      <c r="D342" s="1" t="s">
        <v>291</v>
      </c>
    </row>
    <row r="343" spans="1:4" x14ac:dyDescent="0.35">
      <c r="A343" s="4">
        <v>46067</v>
      </c>
      <c r="B343" s="1" t="s">
        <v>108</v>
      </c>
      <c r="C343" s="7">
        <v>5000</v>
      </c>
      <c r="D343" s="1" t="s">
        <v>281</v>
      </c>
    </row>
    <row r="344" spans="1:4" x14ac:dyDescent="0.35">
      <c r="A344" s="4">
        <v>46067</v>
      </c>
      <c r="B344" s="1" t="s">
        <v>49</v>
      </c>
      <c r="C344" s="7">
        <v>5000</v>
      </c>
      <c r="D344" s="1" t="s">
        <v>233</v>
      </c>
    </row>
    <row r="345" spans="1:4" x14ac:dyDescent="0.35">
      <c r="A345" s="4">
        <v>46067</v>
      </c>
      <c r="B345" s="1" t="s">
        <v>106</v>
      </c>
      <c r="C345" s="7">
        <v>2000</v>
      </c>
      <c r="D345" s="1" t="s">
        <v>292</v>
      </c>
    </row>
    <row r="346" spans="1:4" x14ac:dyDescent="0.35">
      <c r="A346" s="4">
        <v>46067</v>
      </c>
      <c r="B346" s="1" t="s">
        <v>38</v>
      </c>
      <c r="C346" s="7">
        <v>20000</v>
      </c>
      <c r="D346" s="1" t="s">
        <v>293</v>
      </c>
    </row>
    <row r="347" spans="1:4" x14ac:dyDescent="0.35">
      <c r="A347" s="4">
        <v>46067</v>
      </c>
      <c r="B347" s="1" t="s">
        <v>32</v>
      </c>
      <c r="C347" s="7">
        <v>1000</v>
      </c>
      <c r="D347" s="1" t="s">
        <v>42</v>
      </c>
    </row>
    <row r="348" spans="1:4" x14ac:dyDescent="0.35">
      <c r="A348" s="4">
        <v>46067</v>
      </c>
      <c r="B348" s="1" t="s">
        <v>38</v>
      </c>
      <c r="C348" s="7">
        <v>10000</v>
      </c>
      <c r="D348" s="1" t="s">
        <v>294</v>
      </c>
    </row>
    <row r="349" spans="1:4" x14ac:dyDescent="0.35">
      <c r="A349" s="4">
        <v>46070</v>
      </c>
      <c r="B349" s="1" t="s">
        <v>32</v>
      </c>
      <c r="C349" s="7">
        <v>500</v>
      </c>
      <c r="D349" s="1" t="s">
        <v>121</v>
      </c>
    </row>
    <row r="350" spans="1:4" x14ac:dyDescent="0.35">
      <c r="A350" s="4">
        <v>46071</v>
      </c>
      <c r="B350" s="1" t="s">
        <v>32</v>
      </c>
      <c r="C350" s="7">
        <v>500</v>
      </c>
      <c r="D350" s="1" t="s">
        <v>121</v>
      </c>
    </row>
    <row r="351" spans="1:4" x14ac:dyDescent="0.35">
      <c r="A351" s="4">
        <v>46072</v>
      </c>
      <c r="B351" s="1" t="s">
        <v>46</v>
      </c>
      <c r="C351" s="7">
        <v>3000</v>
      </c>
      <c r="D351" s="1" t="s">
        <v>261</v>
      </c>
    </row>
    <row r="352" spans="1:4" x14ac:dyDescent="0.35">
      <c r="A352" s="4">
        <v>46074</v>
      </c>
      <c r="B352" s="1" t="s">
        <v>32</v>
      </c>
      <c r="C352" s="7">
        <v>1000</v>
      </c>
      <c r="D352" s="1" t="s">
        <v>295</v>
      </c>
    </row>
    <row r="353" spans="1:4" x14ac:dyDescent="0.35">
      <c r="A353" s="4">
        <v>46074</v>
      </c>
      <c r="B353" s="1" t="s">
        <v>110</v>
      </c>
      <c r="C353" s="7">
        <v>100</v>
      </c>
      <c r="D353" s="1" t="s">
        <v>296</v>
      </c>
    </row>
    <row r="354" spans="1:4" x14ac:dyDescent="0.35">
      <c r="A354" s="4">
        <v>46074</v>
      </c>
      <c r="B354" s="1" t="s">
        <v>46</v>
      </c>
      <c r="C354" s="7">
        <v>47600</v>
      </c>
      <c r="D354" s="1" t="s">
        <v>297</v>
      </c>
    </row>
    <row r="355" spans="1:4" x14ac:dyDescent="0.35">
      <c r="A355" s="4">
        <v>46074</v>
      </c>
      <c r="B355" s="1" t="s">
        <v>108</v>
      </c>
      <c r="C355" s="7">
        <v>5000</v>
      </c>
      <c r="D355" s="1" t="s">
        <v>298</v>
      </c>
    </row>
    <row r="356" spans="1:4" x14ac:dyDescent="0.35">
      <c r="A356" s="4">
        <v>46074</v>
      </c>
      <c r="B356" s="1" t="s">
        <v>38</v>
      </c>
      <c r="C356" s="7">
        <v>25000</v>
      </c>
      <c r="D356" s="1" t="s">
        <v>283</v>
      </c>
    </row>
    <row r="357" spans="1:4" x14ac:dyDescent="0.35">
      <c r="A357" s="4">
        <v>46074</v>
      </c>
      <c r="B357" s="1" t="s">
        <v>38</v>
      </c>
      <c r="C357" s="7">
        <v>30000</v>
      </c>
      <c r="D357" s="1" t="s">
        <v>162</v>
      </c>
    </row>
    <row r="358" spans="1:4" x14ac:dyDescent="0.35">
      <c r="A358" s="4">
        <v>46074</v>
      </c>
      <c r="B358" s="1" t="s">
        <v>38</v>
      </c>
      <c r="C358" s="7">
        <v>3750</v>
      </c>
      <c r="D358" s="1" t="s">
        <v>299</v>
      </c>
    </row>
    <row r="359" spans="1:4" x14ac:dyDescent="0.35">
      <c r="A359" s="4">
        <v>46074</v>
      </c>
      <c r="B359" s="1" t="s">
        <v>38</v>
      </c>
      <c r="C359" s="7">
        <v>28000</v>
      </c>
      <c r="D359" s="1" t="s">
        <v>300</v>
      </c>
    </row>
    <row r="360" spans="1:4" x14ac:dyDescent="0.35">
      <c r="A360" s="4">
        <v>46077</v>
      </c>
      <c r="B360" s="1" t="s">
        <v>32</v>
      </c>
      <c r="C360" s="7">
        <v>500</v>
      </c>
      <c r="D360" s="1" t="s">
        <v>42</v>
      </c>
    </row>
    <row r="361" spans="1:4" x14ac:dyDescent="0.35">
      <c r="A361" s="4">
        <v>46078</v>
      </c>
      <c r="B361" s="1" t="s">
        <v>52</v>
      </c>
      <c r="C361" s="7">
        <v>2000</v>
      </c>
      <c r="D361" s="1" t="s">
        <v>301</v>
      </c>
    </row>
    <row r="362" spans="1:4" x14ac:dyDescent="0.35">
      <c r="A362" s="4">
        <v>46078</v>
      </c>
      <c r="B362" s="1" t="s">
        <v>46</v>
      </c>
      <c r="C362" s="7">
        <v>1500</v>
      </c>
      <c r="D362" s="1" t="s">
        <v>302</v>
      </c>
    </row>
    <row r="363" spans="1:4" x14ac:dyDescent="0.35">
      <c r="A363" s="4">
        <v>46081</v>
      </c>
      <c r="B363" s="1" t="s">
        <v>46</v>
      </c>
      <c r="C363" s="7">
        <v>18150</v>
      </c>
      <c r="D363" s="1" t="s">
        <v>291</v>
      </c>
    </row>
    <row r="364" spans="1:4" x14ac:dyDescent="0.35">
      <c r="A364" s="4">
        <v>46081</v>
      </c>
      <c r="B364" s="1" t="s">
        <v>106</v>
      </c>
      <c r="C364" s="7">
        <v>4000</v>
      </c>
      <c r="D364" s="1" t="s">
        <v>303</v>
      </c>
    </row>
    <row r="365" spans="1:4" x14ac:dyDescent="0.35">
      <c r="A365" s="4">
        <v>46081</v>
      </c>
      <c r="B365" s="1" t="s">
        <v>38</v>
      </c>
      <c r="C365" s="7">
        <v>50000</v>
      </c>
      <c r="D365" s="1" t="s">
        <v>304</v>
      </c>
    </row>
    <row r="366" spans="1:4" x14ac:dyDescent="0.35">
      <c r="A366" s="4">
        <v>46081</v>
      </c>
      <c r="B366" s="1" t="s">
        <v>32</v>
      </c>
      <c r="C366" s="7">
        <v>500</v>
      </c>
      <c r="D366" s="1" t="s">
        <v>42</v>
      </c>
    </row>
    <row r="367" spans="1:4" x14ac:dyDescent="0.35">
      <c r="A367" s="4">
        <v>46085</v>
      </c>
      <c r="B367" s="1" t="s">
        <v>305</v>
      </c>
      <c r="C367" s="7">
        <v>75000</v>
      </c>
      <c r="D367" s="1" t="s">
        <v>306</v>
      </c>
    </row>
    <row r="368" spans="1:4" x14ac:dyDescent="0.35">
      <c r="A368" s="4">
        <v>46085</v>
      </c>
      <c r="B368" s="1" t="s">
        <v>32</v>
      </c>
      <c r="C368" s="7">
        <v>1000</v>
      </c>
      <c r="D368" s="1" t="s">
        <v>307</v>
      </c>
    </row>
    <row r="369" spans="1:4" x14ac:dyDescent="0.35">
      <c r="A369" s="4">
        <v>46085</v>
      </c>
      <c r="B369" s="1" t="s">
        <v>46</v>
      </c>
      <c r="C369" s="7">
        <v>2000</v>
      </c>
      <c r="D369" s="1" t="s">
        <v>252</v>
      </c>
    </row>
    <row r="370" spans="1:4" x14ac:dyDescent="0.35">
      <c r="A370" s="4">
        <v>46087</v>
      </c>
      <c r="B370" s="1" t="s">
        <v>40</v>
      </c>
      <c r="C370" s="7">
        <v>1100</v>
      </c>
      <c r="D370" s="1" t="s">
        <v>308</v>
      </c>
    </row>
    <row r="371" spans="1:4" x14ac:dyDescent="0.35">
      <c r="A371" s="4">
        <v>46088</v>
      </c>
      <c r="B371" s="1" t="s">
        <v>32</v>
      </c>
      <c r="C371" s="7">
        <v>500</v>
      </c>
      <c r="D371" s="1" t="s">
        <v>42</v>
      </c>
    </row>
    <row r="372" spans="1:4" x14ac:dyDescent="0.35">
      <c r="A372" s="4">
        <v>46088</v>
      </c>
      <c r="B372" s="1" t="s">
        <v>32</v>
      </c>
      <c r="C372" s="7">
        <v>1000</v>
      </c>
      <c r="D372" s="1" t="s">
        <v>309</v>
      </c>
    </row>
    <row r="373" spans="1:4" x14ac:dyDescent="0.35">
      <c r="A373" s="4">
        <v>46088</v>
      </c>
      <c r="B373" s="1" t="s">
        <v>46</v>
      </c>
      <c r="C373" s="7">
        <v>32100</v>
      </c>
      <c r="D373" s="1" t="s">
        <v>310</v>
      </c>
    </row>
    <row r="374" spans="1:4" x14ac:dyDescent="0.35">
      <c r="A374" s="4">
        <v>46088</v>
      </c>
      <c r="B374" s="1" t="s">
        <v>106</v>
      </c>
      <c r="C374" s="7">
        <v>3000</v>
      </c>
      <c r="D374" s="1" t="s">
        <v>311</v>
      </c>
    </row>
    <row r="375" spans="1:4" x14ac:dyDescent="0.35">
      <c r="A375" s="4">
        <v>46088</v>
      </c>
      <c r="B375" s="1" t="s">
        <v>312</v>
      </c>
      <c r="C375" s="7">
        <v>5000</v>
      </c>
      <c r="D375" s="1" t="s">
        <v>313</v>
      </c>
    </row>
    <row r="376" spans="1:4" x14ac:dyDescent="0.35">
      <c r="A376" s="4">
        <v>46089</v>
      </c>
      <c r="B376" s="1" t="s">
        <v>32</v>
      </c>
      <c r="C376" s="7">
        <v>500</v>
      </c>
      <c r="D376" s="1" t="s">
        <v>42</v>
      </c>
    </row>
    <row r="377" spans="1:4" x14ac:dyDescent="0.35">
      <c r="A377" s="4">
        <v>49743</v>
      </c>
      <c r="B377" s="1" t="s">
        <v>32</v>
      </c>
      <c r="C377" s="7">
        <v>1000</v>
      </c>
      <c r="D377" s="1" t="s">
        <v>42</v>
      </c>
    </row>
    <row r="378" spans="1:4" x14ac:dyDescent="0.35">
      <c r="A378" s="4">
        <v>46090</v>
      </c>
      <c r="B378" s="1" t="s">
        <v>32</v>
      </c>
      <c r="C378" s="7">
        <v>1000</v>
      </c>
      <c r="D378" s="1" t="s">
        <v>314</v>
      </c>
    </row>
    <row r="379" spans="1:4" x14ac:dyDescent="0.35">
      <c r="A379" s="4">
        <v>46090</v>
      </c>
      <c r="B379" s="1" t="s">
        <v>6</v>
      </c>
      <c r="C379" s="7">
        <v>340</v>
      </c>
      <c r="D379" s="1" t="s">
        <v>315</v>
      </c>
    </row>
    <row r="380" spans="1:4" x14ac:dyDescent="0.35">
      <c r="A380" s="4">
        <v>46090</v>
      </c>
      <c r="B380" s="1" t="s">
        <v>6</v>
      </c>
      <c r="C380" s="7">
        <v>160</v>
      </c>
      <c r="D380" s="1" t="s">
        <v>316</v>
      </c>
    </row>
    <row r="381" spans="1:4" x14ac:dyDescent="0.35">
      <c r="A381" s="4">
        <v>46091</v>
      </c>
      <c r="B381" s="1" t="s">
        <v>46</v>
      </c>
      <c r="C381" s="7">
        <v>2000</v>
      </c>
      <c r="D381" s="1" t="s">
        <v>302</v>
      </c>
    </row>
    <row r="382" spans="1:4" x14ac:dyDescent="0.35">
      <c r="A382" s="4">
        <v>46092</v>
      </c>
      <c r="B382" s="1" t="s">
        <v>312</v>
      </c>
      <c r="C382" s="7">
        <v>20000</v>
      </c>
      <c r="D382" s="1" t="s">
        <v>211</v>
      </c>
    </row>
    <row r="383" spans="1:4" x14ac:dyDescent="0.35">
      <c r="A383" s="4">
        <v>46092</v>
      </c>
      <c r="B383" s="1" t="s">
        <v>32</v>
      </c>
      <c r="C383" s="7">
        <v>500</v>
      </c>
      <c r="D383" s="1" t="s">
        <v>317</v>
      </c>
    </row>
    <row r="384" spans="1:4" x14ac:dyDescent="0.35">
      <c r="A384" s="4">
        <v>46093</v>
      </c>
      <c r="B384" s="1" t="s">
        <v>6</v>
      </c>
      <c r="C384" s="7">
        <v>600</v>
      </c>
      <c r="D384" s="1" t="s">
        <v>318</v>
      </c>
    </row>
    <row r="385" spans="1:4" x14ac:dyDescent="0.35">
      <c r="A385" s="4">
        <v>46093</v>
      </c>
      <c r="B385" s="1" t="s">
        <v>46</v>
      </c>
      <c r="C385" s="7">
        <v>500</v>
      </c>
      <c r="D385" s="1" t="s">
        <v>319</v>
      </c>
    </row>
    <row r="386" spans="1:4" x14ac:dyDescent="0.35">
      <c r="A386" s="4">
        <v>46095</v>
      </c>
      <c r="B386" s="1" t="s">
        <v>32</v>
      </c>
      <c r="C386" s="7">
        <v>500</v>
      </c>
      <c r="D386" s="1" t="s">
        <v>42</v>
      </c>
    </row>
    <row r="387" spans="1:4" x14ac:dyDescent="0.35">
      <c r="A387" s="4">
        <v>46095</v>
      </c>
      <c r="B387" s="1" t="s">
        <v>46</v>
      </c>
      <c r="C387" s="7">
        <v>18900</v>
      </c>
      <c r="D387" s="1" t="s">
        <v>322</v>
      </c>
    </row>
    <row r="388" spans="1:4" x14ac:dyDescent="0.35">
      <c r="A388" s="4">
        <v>46095</v>
      </c>
      <c r="B388" s="1" t="s">
        <v>305</v>
      </c>
      <c r="C388" s="7">
        <v>15000</v>
      </c>
      <c r="D388" s="1" t="s">
        <v>320</v>
      </c>
    </row>
    <row r="389" spans="1:4" x14ac:dyDescent="0.35">
      <c r="A389" s="4">
        <v>46096</v>
      </c>
      <c r="B389" s="1" t="s">
        <v>40</v>
      </c>
      <c r="C389" s="7">
        <v>1166</v>
      </c>
      <c r="D389" s="1" t="s">
        <v>321</v>
      </c>
    </row>
    <row r="390" spans="1:4" x14ac:dyDescent="0.35">
      <c r="A390" s="4">
        <v>46099</v>
      </c>
      <c r="B390" s="1" t="s">
        <v>312</v>
      </c>
      <c r="C390" s="7">
        <v>10000</v>
      </c>
      <c r="D390" s="1" t="s">
        <v>323</v>
      </c>
    </row>
    <row r="391" spans="1:4" x14ac:dyDescent="0.35">
      <c r="A391" s="4">
        <v>46100</v>
      </c>
      <c r="B391" s="1" t="s">
        <v>52</v>
      </c>
      <c r="C391" s="7">
        <v>1000</v>
      </c>
      <c r="D391" s="1" t="s">
        <v>324</v>
      </c>
    </row>
    <row r="392" spans="1:4" x14ac:dyDescent="0.35">
      <c r="A392" s="4">
        <v>46100</v>
      </c>
      <c r="B392" s="1" t="s">
        <v>32</v>
      </c>
      <c r="C392" s="7">
        <v>2200</v>
      </c>
      <c r="D392" s="1" t="s">
        <v>325</v>
      </c>
    </row>
    <row r="393" spans="1:4" x14ac:dyDescent="0.35">
      <c r="A393" s="4">
        <v>46100</v>
      </c>
      <c r="B393" s="1" t="s">
        <v>6</v>
      </c>
      <c r="C393" s="7">
        <v>300</v>
      </c>
      <c r="D393" s="1" t="s">
        <v>326</v>
      </c>
    </row>
    <row r="394" spans="1:4" x14ac:dyDescent="0.35">
      <c r="A394" s="4">
        <v>46100</v>
      </c>
      <c r="B394" s="1" t="s">
        <v>46</v>
      </c>
      <c r="C394" s="7">
        <v>2000</v>
      </c>
      <c r="D394" s="1" t="s">
        <v>302</v>
      </c>
    </row>
    <row r="395" spans="1:4" x14ac:dyDescent="0.35">
      <c r="A395" s="4">
        <v>46100</v>
      </c>
      <c r="B395" s="1" t="s">
        <v>312</v>
      </c>
      <c r="C395" s="7">
        <v>5000</v>
      </c>
      <c r="D395" s="1" t="s">
        <v>327</v>
      </c>
    </row>
    <row r="396" spans="1:4" x14ac:dyDescent="0.35">
      <c r="A396" s="4">
        <v>46102</v>
      </c>
      <c r="B396" s="1" t="s">
        <v>46</v>
      </c>
      <c r="C396" s="7">
        <v>32100</v>
      </c>
      <c r="D396" s="1" t="s">
        <v>328</v>
      </c>
    </row>
    <row r="397" spans="1:4" x14ac:dyDescent="0.35">
      <c r="A397" s="4">
        <v>46102</v>
      </c>
      <c r="B397" s="1" t="s">
        <v>175</v>
      </c>
      <c r="C397" s="7">
        <v>5000</v>
      </c>
      <c r="D397" s="1" t="s">
        <v>329</v>
      </c>
    </row>
    <row r="398" spans="1:4" x14ac:dyDescent="0.35">
      <c r="A398" s="4">
        <v>46102</v>
      </c>
      <c r="B398" s="1" t="s">
        <v>305</v>
      </c>
      <c r="C398" s="7">
        <v>8500</v>
      </c>
      <c r="D398" s="1" t="s">
        <v>330</v>
      </c>
    </row>
    <row r="399" spans="1:4" x14ac:dyDescent="0.35">
      <c r="A399" s="4">
        <v>46102</v>
      </c>
      <c r="B399" s="1" t="s">
        <v>305</v>
      </c>
      <c r="C399" s="7">
        <v>95000</v>
      </c>
      <c r="D399" s="1" t="s">
        <v>331</v>
      </c>
    </row>
    <row r="400" spans="1:4" x14ac:dyDescent="0.35">
      <c r="A400" s="4">
        <v>46102</v>
      </c>
      <c r="B400" s="1" t="s">
        <v>312</v>
      </c>
      <c r="C400" s="7">
        <v>10000</v>
      </c>
      <c r="D400" s="1" t="s">
        <v>327</v>
      </c>
    </row>
    <row r="401" spans="1:4" x14ac:dyDescent="0.35">
      <c r="A401" s="4">
        <v>46102</v>
      </c>
      <c r="B401" s="1" t="s">
        <v>38</v>
      </c>
      <c r="C401" s="7">
        <v>18900</v>
      </c>
      <c r="D401" s="1" t="s">
        <v>162</v>
      </c>
    </row>
    <row r="402" spans="1:4" x14ac:dyDescent="0.35">
      <c r="A402" s="4">
        <v>46102</v>
      </c>
      <c r="B402" s="1" t="s">
        <v>38</v>
      </c>
      <c r="C402" s="7">
        <v>900</v>
      </c>
      <c r="D402" s="1" t="s">
        <v>334</v>
      </c>
    </row>
    <row r="403" spans="1:4" x14ac:dyDescent="0.35">
      <c r="A403" s="4">
        <v>46103</v>
      </c>
      <c r="B403" s="1" t="s">
        <v>32</v>
      </c>
      <c r="C403" s="7">
        <v>500</v>
      </c>
      <c r="D403" s="1" t="s">
        <v>42</v>
      </c>
    </row>
    <row r="404" spans="1:4" x14ac:dyDescent="0.35">
      <c r="A404" s="4">
        <v>46105</v>
      </c>
      <c r="B404" s="1" t="s">
        <v>32</v>
      </c>
      <c r="C404" s="7">
        <v>2500</v>
      </c>
      <c r="D404" s="1" t="s">
        <v>42</v>
      </c>
    </row>
    <row r="405" spans="1:4" x14ac:dyDescent="0.35">
      <c r="A405" s="4">
        <v>46105</v>
      </c>
      <c r="B405" s="1" t="s">
        <v>332</v>
      </c>
      <c r="C405" s="7">
        <v>1000</v>
      </c>
      <c r="D405" s="1" t="s">
        <v>333</v>
      </c>
    </row>
    <row r="406" spans="1:4" x14ac:dyDescent="0.35">
      <c r="A406" s="4">
        <v>46109</v>
      </c>
      <c r="B406" s="1" t="s">
        <v>46</v>
      </c>
      <c r="C406" s="7">
        <v>16600</v>
      </c>
      <c r="D406" s="1" t="s">
        <v>270</v>
      </c>
    </row>
    <row r="407" spans="1:4" x14ac:dyDescent="0.35">
      <c r="A407" s="4">
        <v>46109</v>
      </c>
      <c r="B407" s="1" t="s">
        <v>332</v>
      </c>
      <c r="C407" s="7">
        <v>2000</v>
      </c>
      <c r="D407" s="1" t="s">
        <v>311</v>
      </c>
    </row>
    <row r="408" spans="1:4" x14ac:dyDescent="0.35">
      <c r="A408" s="4">
        <v>46109</v>
      </c>
      <c r="B408" s="1" t="s">
        <v>38</v>
      </c>
      <c r="C408" s="7">
        <v>30000</v>
      </c>
      <c r="D408" s="1" t="s">
        <v>335</v>
      </c>
    </row>
    <row r="409" spans="1:4" x14ac:dyDescent="0.35">
      <c r="A409" s="4">
        <v>46109</v>
      </c>
      <c r="B409" s="1" t="s">
        <v>38</v>
      </c>
      <c r="C409" s="7">
        <v>8500</v>
      </c>
      <c r="D409" s="1" t="s">
        <v>336</v>
      </c>
    </row>
    <row r="410" spans="1:4" x14ac:dyDescent="0.35">
      <c r="A410" s="4">
        <v>46111</v>
      </c>
      <c r="B410" s="1" t="s">
        <v>312</v>
      </c>
      <c r="C410" s="7">
        <v>12000</v>
      </c>
      <c r="D410" s="1" t="s">
        <v>313</v>
      </c>
    </row>
    <row r="411" spans="1:4" x14ac:dyDescent="0.35">
      <c r="A411" s="4">
        <v>46113</v>
      </c>
      <c r="B411" s="1" t="s">
        <v>32</v>
      </c>
      <c r="C411" s="7">
        <v>500</v>
      </c>
      <c r="D411" s="1" t="s">
        <v>337</v>
      </c>
    </row>
    <row r="412" spans="1:4" x14ac:dyDescent="0.35">
      <c r="A412" s="4">
        <v>46113</v>
      </c>
      <c r="B412" s="1" t="s">
        <v>176</v>
      </c>
      <c r="C412" s="7">
        <v>2800</v>
      </c>
      <c r="D412" s="1" t="s">
        <v>338</v>
      </c>
    </row>
    <row r="413" spans="1:4" x14ac:dyDescent="0.35">
      <c r="A413" s="4">
        <v>46119</v>
      </c>
      <c r="B413" s="1" t="s">
        <v>52</v>
      </c>
      <c r="C413" s="7">
        <v>1177</v>
      </c>
      <c r="D413" s="1" t="s">
        <v>339</v>
      </c>
    </row>
    <row r="414" spans="1:4" x14ac:dyDescent="0.35">
      <c r="A414" s="4">
        <v>46128</v>
      </c>
      <c r="B414" s="1" t="s">
        <v>38</v>
      </c>
      <c r="C414" s="7">
        <v>4750</v>
      </c>
      <c r="D414" s="1" t="s">
        <v>336</v>
      </c>
    </row>
    <row r="415" spans="1:4" x14ac:dyDescent="0.35">
      <c r="A415" s="4">
        <v>46130</v>
      </c>
      <c r="B415" s="1" t="s">
        <v>40</v>
      </c>
      <c r="C415" s="7">
        <v>150</v>
      </c>
      <c r="D415" s="1" t="s">
        <v>340</v>
      </c>
    </row>
    <row r="416" spans="1:4" x14ac:dyDescent="0.35">
      <c r="A416" s="5">
        <v>46144</v>
      </c>
      <c r="B416" s="28" t="s">
        <v>38</v>
      </c>
      <c r="C416" s="8">
        <v>20000</v>
      </c>
      <c r="D416" s="28" t="s">
        <v>335</v>
      </c>
    </row>
  </sheetData>
  <autoFilter ref="A1:D81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DataSource!$A$2:$A$33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BCE5-B96F-4712-AB29-EC927D996659}">
  <dimension ref="A2:A30"/>
  <sheetViews>
    <sheetView topLeftCell="A4" workbookViewId="0">
      <selection activeCell="A10" sqref="A10"/>
    </sheetView>
  </sheetViews>
  <sheetFormatPr defaultRowHeight="14.5" x14ac:dyDescent="0.35"/>
  <cols>
    <col min="1" max="1" width="20.54296875" bestFit="1" customWidth="1"/>
  </cols>
  <sheetData>
    <row r="2" spans="1:1" x14ac:dyDescent="0.35">
      <c r="A2" s="1" t="s">
        <v>26</v>
      </c>
    </row>
    <row r="3" spans="1:1" x14ac:dyDescent="0.35">
      <c r="A3" s="1" t="s">
        <v>30</v>
      </c>
    </row>
    <row r="4" spans="1:1" x14ac:dyDescent="0.35">
      <c r="A4" s="1" t="s">
        <v>38</v>
      </c>
    </row>
    <row r="5" spans="1:1" x14ac:dyDescent="0.35">
      <c r="A5" s="1" t="s">
        <v>175</v>
      </c>
    </row>
    <row r="6" spans="1:1" x14ac:dyDescent="0.35">
      <c r="A6" s="1" t="s">
        <v>176</v>
      </c>
    </row>
    <row r="7" spans="1:1" x14ac:dyDescent="0.35">
      <c r="A7" s="1" t="s">
        <v>46</v>
      </c>
    </row>
    <row r="8" spans="1:1" x14ac:dyDescent="0.35">
      <c r="A8" s="1" t="s">
        <v>71</v>
      </c>
    </row>
    <row r="9" spans="1:1" x14ac:dyDescent="0.35">
      <c r="A9" s="1" t="s">
        <v>49</v>
      </c>
    </row>
    <row r="10" spans="1:1" x14ac:dyDescent="0.35">
      <c r="A10" s="1" t="s">
        <v>332</v>
      </c>
    </row>
    <row r="11" spans="1:1" x14ac:dyDescent="0.35">
      <c r="A11" s="1" t="s">
        <v>107</v>
      </c>
    </row>
    <row r="12" spans="1:1" x14ac:dyDescent="0.35">
      <c r="A12" s="1" t="s">
        <v>108</v>
      </c>
    </row>
    <row r="13" spans="1:1" x14ac:dyDescent="0.35">
      <c r="A13" s="1" t="s">
        <v>312</v>
      </c>
    </row>
    <row r="14" spans="1:1" x14ac:dyDescent="0.35">
      <c r="A14" s="1" t="s">
        <v>32</v>
      </c>
    </row>
    <row r="15" spans="1:1" x14ac:dyDescent="0.35">
      <c r="A15" s="1" t="s">
        <v>56</v>
      </c>
    </row>
    <row r="16" spans="1:1" x14ac:dyDescent="0.35">
      <c r="A16" s="1" t="s">
        <v>52</v>
      </c>
    </row>
    <row r="17" spans="1:1" x14ac:dyDescent="0.35">
      <c r="A17" s="1" t="s">
        <v>6</v>
      </c>
    </row>
    <row r="18" spans="1:1" x14ac:dyDescent="0.35">
      <c r="A18" s="1" t="s">
        <v>11</v>
      </c>
    </row>
    <row r="19" spans="1:1" x14ac:dyDescent="0.35">
      <c r="A19" s="1" t="s">
        <v>68</v>
      </c>
    </row>
    <row r="20" spans="1:1" x14ac:dyDescent="0.35">
      <c r="A20" s="1" t="s">
        <v>109</v>
      </c>
    </row>
    <row r="21" spans="1:1" x14ac:dyDescent="0.35">
      <c r="A21" s="1" t="s">
        <v>110</v>
      </c>
    </row>
    <row r="22" spans="1:1" x14ac:dyDescent="0.35">
      <c r="A22" s="1" t="s">
        <v>40</v>
      </c>
    </row>
    <row r="23" spans="1:1" x14ac:dyDescent="0.35">
      <c r="A23" s="1" t="s">
        <v>90</v>
      </c>
    </row>
    <row r="24" spans="1:1" x14ac:dyDescent="0.35">
      <c r="A24" s="1" t="s">
        <v>129</v>
      </c>
    </row>
    <row r="25" spans="1:1" x14ac:dyDescent="0.35">
      <c r="A25" s="1" t="s">
        <v>145</v>
      </c>
    </row>
    <row r="26" spans="1:1" x14ac:dyDescent="0.35">
      <c r="A26" s="1" t="s">
        <v>220</v>
      </c>
    </row>
    <row r="27" spans="1:1" x14ac:dyDescent="0.35">
      <c r="A27" s="1" t="s">
        <v>221</v>
      </c>
    </row>
    <row r="28" spans="1:1" x14ac:dyDescent="0.35">
      <c r="A28" s="27" t="s">
        <v>249</v>
      </c>
    </row>
    <row r="29" spans="1:1" x14ac:dyDescent="0.35">
      <c r="A29" s="27" t="s">
        <v>273</v>
      </c>
    </row>
    <row r="30" spans="1:1" x14ac:dyDescent="0.35">
      <c r="A30" s="27" t="s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1:K29"/>
  <sheetViews>
    <sheetView workbookViewId="0">
      <selection activeCell="B9" sqref="B9"/>
    </sheetView>
  </sheetViews>
  <sheetFormatPr defaultRowHeight="14.5" x14ac:dyDescent="0.35"/>
  <cols>
    <col min="1" max="1" width="20.54296875" bestFit="1" customWidth="1"/>
    <col min="2" max="2" width="13" bestFit="1" customWidth="1"/>
    <col min="4" max="4" width="19.453125" bestFit="1" customWidth="1"/>
    <col min="5" max="5" width="13" bestFit="1" customWidth="1"/>
    <col min="7" max="7" width="16.7265625" bestFit="1" customWidth="1"/>
    <col min="8" max="8" width="13" bestFit="1" customWidth="1"/>
    <col min="10" max="10" width="12.90625" bestFit="1" customWidth="1"/>
    <col min="11" max="11" width="13" bestFit="1" customWidth="1"/>
  </cols>
  <sheetData>
    <row r="1" spans="1:11" x14ac:dyDescent="0.35">
      <c r="D1" t="s">
        <v>150</v>
      </c>
      <c r="G1" t="s">
        <v>151</v>
      </c>
      <c r="J1" t="s">
        <v>152</v>
      </c>
    </row>
    <row r="3" spans="1:11" x14ac:dyDescent="0.35">
      <c r="A3" s="16" t="s">
        <v>45</v>
      </c>
      <c r="B3" s="1" t="s">
        <v>20</v>
      </c>
      <c r="D3" s="16" t="s">
        <v>45</v>
      </c>
      <c r="E3" s="1" t="s">
        <v>20</v>
      </c>
      <c r="G3" s="16" t="s">
        <v>45</v>
      </c>
      <c r="H3" s="1" t="s">
        <v>20</v>
      </c>
      <c r="J3" s="16" t="s">
        <v>45</v>
      </c>
      <c r="K3" s="1" t="s">
        <v>20</v>
      </c>
    </row>
    <row r="4" spans="1:11" x14ac:dyDescent="0.35">
      <c r="A4" s="15" t="s">
        <v>38</v>
      </c>
      <c r="B4" s="19">
        <v>1731105</v>
      </c>
      <c r="D4" s="15" t="s">
        <v>38</v>
      </c>
      <c r="E4" s="19">
        <v>1731105</v>
      </c>
      <c r="G4" s="15" t="s">
        <v>11</v>
      </c>
      <c r="H4" s="19">
        <v>22800</v>
      </c>
      <c r="J4" s="15" t="s">
        <v>129</v>
      </c>
      <c r="K4" s="19">
        <v>300000</v>
      </c>
    </row>
    <row r="5" spans="1:11" x14ac:dyDescent="0.35">
      <c r="A5" s="15" t="s">
        <v>30</v>
      </c>
      <c r="B5" s="19">
        <v>10095</v>
      </c>
      <c r="D5" s="15" t="s">
        <v>30</v>
      </c>
      <c r="E5" s="19">
        <v>10095</v>
      </c>
      <c r="G5" s="15" t="s">
        <v>46</v>
      </c>
      <c r="H5" s="19">
        <v>1079500</v>
      </c>
      <c r="J5" s="15" t="s">
        <v>145</v>
      </c>
      <c r="K5" s="19">
        <v>100000</v>
      </c>
    </row>
    <row r="6" spans="1:11" x14ac:dyDescent="0.35">
      <c r="A6" s="15" t="s">
        <v>11</v>
      </c>
      <c r="B6" s="19">
        <v>22800</v>
      </c>
      <c r="D6" s="15" t="s">
        <v>26</v>
      </c>
      <c r="E6" s="19">
        <v>13980</v>
      </c>
      <c r="G6" s="15" t="s">
        <v>49</v>
      </c>
      <c r="H6" s="19">
        <v>230050</v>
      </c>
      <c r="J6" s="10" t="s">
        <v>14</v>
      </c>
      <c r="K6" s="20">
        <v>400000</v>
      </c>
    </row>
    <row r="7" spans="1:11" x14ac:dyDescent="0.35">
      <c r="A7" s="15" t="s">
        <v>26</v>
      </c>
      <c r="B7" s="19">
        <v>13980</v>
      </c>
      <c r="D7" s="10" t="s">
        <v>14</v>
      </c>
      <c r="E7" s="20">
        <v>1755180</v>
      </c>
      <c r="G7" s="15" t="s">
        <v>71</v>
      </c>
      <c r="H7" s="19">
        <v>74700</v>
      </c>
    </row>
    <row r="8" spans="1:11" x14ac:dyDescent="0.35">
      <c r="A8" s="15" t="s">
        <v>40</v>
      </c>
      <c r="B8" s="19">
        <v>6586</v>
      </c>
      <c r="G8" s="10" t="s">
        <v>14</v>
      </c>
      <c r="H8" s="20">
        <v>1407050</v>
      </c>
    </row>
    <row r="9" spans="1:11" x14ac:dyDescent="0.35">
      <c r="A9" s="15" t="s">
        <v>32</v>
      </c>
      <c r="B9" s="19">
        <v>66800</v>
      </c>
    </row>
    <row r="10" spans="1:11" x14ac:dyDescent="0.35">
      <c r="A10" s="15" t="s">
        <v>6</v>
      </c>
      <c r="B10" s="19">
        <v>12260</v>
      </c>
    </row>
    <row r="11" spans="1:11" x14ac:dyDescent="0.35">
      <c r="A11" s="15" t="s">
        <v>46</v>
      </c>
      <c r="B11" s="19">
        <v>1079500</v>
      </c>
    </row>
    <row r="12" spans="1:11" x14ac:dyDescent="0.35">
      <c r="A12" s="15" t="s">
        <v>49</v>
      </c>
      <c r="B12" s="19">
        <v>230050</v>
      </c>
    </row>
    <row r="13" spans="1:11" x14ac:dyDescent="0.35">
      <c r="A13" s="15" t="s">
        <v>52</v>
      </c>
      <c r="B13" s="19">
        <v>20907</v>
      </c>
    </row>
    <row r="14" spans="1:11" x14ac:dyDescent="0.35">
      <c r="A14" s="15" t="s">
        <v>56</v>
      </c>
      <c r="B14" s="19">
        <v>2467</v>
      </c>
    </row>
    <row r="15" spans="1:11" x14ac:dyDescent="0.35">
      <c r="A15" s="15" t="s">
        <v>71</v>
      </c>
      <c r="B15" s="19">
        <v>74700</v>
      </c>
    </row>
    <row r="16" spans="1:11" x14ac:dyDescent="0.35">
      <c r="A16" s="15" t="s">
        <v>68</v>
      </c>
      <c r="B16" s="19">
        <v>31650</v>
      </c>
    </row>
    <row r="17" spans="1:2" x14ac:dyDescent="0.35">
      <c r="A17" s="15" t="s">
        <v>90</v>
      </c>
      <c r="B17" s="19">
        <v>12600</v>
      </c>
    </row>
    <row r="18" spans="1:2" x14ac:dyDescent="0.35">
      <c r="A18" s="15" t="s">
        <v>96</v>
      </c>
      <c r="B18" s="19">
        <v>1500</v>
      </c>
    </row>
    <row r="19" spans="1:2" x14ac:dyDescent="0.35">
      <c r="A19" s="15" t="s">
        <v>110</v>
      </c>
      <c r="B19" s="19">
        <v>3080</v>
      </c>
    </row>
    <row r="20" spans="1:2" x14ac:dyDescent="0.35">
      <c r="A20" s="15" t="s">
        <v>129</v>
      </c>
      <c r="B20" s="19">
        <v>300000</v>
      </c>
    </row>
    <row r="21" spans="1:2" x14ac:dyDescent="0.35">
      <c r="A21" s="15" t="s">
        <v>145</v>
      </c>
      <c r="B21" s="19">
        <v>100000</v>
      </c>
    </row>
    <row r="22" spans="1:2" x14ac:dyDescent="0.35">
      <c r="A22" s="15" t="s">
        <v>106</v>
      </c>
      <c r="B22" s="19">
        <v>50000</v>
      </c>
    </row>
    <row r="23" spans="1:2" x14ac:dyDescent="0.35">
      <c r="A23" s="15" t="s">
        <v>175</v>
      </c>
      <c r="B23" s="19">
        <v>44800</v>
      </c>
    </row>
    <row r="24" spans="1:2" x14ac:dyDescent="0.35">
      <c r="A24" s="15" t="s">
        <v>220</v>
      </c>
      <c r="B24" s="19">
        <v>65000</v>
      </c>
    </row>
    <row r="25" spans="1:2" x14ac:dyDescent="0.35">
      <c r="A25" s="15" t="s">
        <v>221</v>
      </c>
      <c r="B25" s="19">
        <v>40000</v>
      </c>
    </row>
    <row r="26" spans="1:2" x14ac:dyDescent="0.35">
      <c r="A26" s="15" t="s">
        <v>249</v>
      </c>
      <c r="B26" s="19">
        <v>46000</v>
      </c>
    </row>
    <row r="27" spans="1:2" x14ac:dyDescent="0.35">
      <c r="A27" s="15" t="s">
        <v>108</v>
      </c>
      <c r="B27" s="19">
        <v>38000</v>
      </c>
    </row>
    <row r="28" spans="1:2" x14ac:dyDescent="0.35">
      <c r="A28" s="15" t="s">
        <v>273</v>
      </c>
      <c r="B28" s="19">
        <v>2130</v>
      </c>
    </row>
    <row r="29" spans="1:2" x14ac:dyDescent="0.35">
      <c r="A29" s="10" t="s">
        <v>14</v>
      </c>
      <c r="B29" s="20">
        <v>4006010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4" t="s">
        <v>17</v>
      </c>
    </row>
    <row r="3" spans="1:4" x14ac:dyDescent="0.35">
      <c r="A3" t="s">
        <v>0</v>
      </c>
      <c r="B3" t="s">
        <v>5</v>
      </c>
      <c r="C3" t="s">
        <v>1</v>
      </c>
      <c r="D3" t="s">
        <v>3</v>
      </c>
    </row>
    <row r="4" spans="1:4" x14ac:dyDescent="0.35">
      <c r="A4" s="13">
        <v>45793</v>
      </c>
      <c r="B4" t="s">
        <v>10</v>
      </c>
      <c r="C4">
        <v>23900</v>
      </c>
      <c r="D4" t="s">
        <v>16</v>
      </c>
    </row>
    <row r="5" spans="1:4" x14ac:dyDescent="0.35">
      <c r="A5" s="13">
        <v>45783</v>
      </c>
      <c r="B5" t="s">
        <v>10</v>
      </c>
      <c r="C5">
        <v>5000</v>
      </c>
      <c r="D5" t="s">
        <v>13</v>
      </c>
    </row>
    <row r="6" spans="1:4" x14ac:dyDescent="0.35">
      <c r="A6" s="13">
        <v>45781</v>
      </c>
      <c r="B6" t="s">
        <v>10</v>
      </c>
      <c r="C6">
        <v>75000</v>
      </c>
      <c r="D6" t="s">
        <v>12</v>
      </c>
    </row>
    <row r="7" spans="1:4" x14ac:dyDescent="0.35">
      <c r="A7" s="13">
        <v>45777</v>
      </c>
      <c r="B7" t="s">
        <v>10</v>
      </c>
      <c r="C7">
        <v>5000</v>
      </c>
      <c r="D7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2026-05-02T10:15:30Z</dcterms:modified>
</cp:coreProperties>
</file>