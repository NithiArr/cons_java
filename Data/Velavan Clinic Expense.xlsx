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Vellavan Site Saravanampatty/Accounts/"/>
    </mc:Choice>
  </mc:AlternateContent>
  <xr:revisionPtr revIDLastSave="535" documentId="13_ncr:1_{A897D8FB-91AB-4CE7-9AEF-C0B79DED4CEF}" xr6:coauthVersionLast="47" xr6:coauthVersionMax="47" xr10:uidLastSave="{052D7888-C190-44A6-9DE5-DB4A65BC0534}"/>
  <bookViews>
    <workbookView xWindow="-110" yWindow="-110" windowWidth="19420" windowHeight="11500" activeTab="1" xr2:uid="{00000000-000D-0000-FFFF-FFFF00000000}"/>
  </bookViews>
  <sheets>
    <sheet name="Payment Received" sheetId="1" r:id="rId1"/>
    <sheet name="Expenses" sheetId="2" r:id="rId2"/>
    <sheet name="DataSource" sheetId="19" r:id="rId3"/>
    <sheet name="Overview" sheetId="16" r:id="rId4"/>
    <sheet name="Detail1" sheetId="7" state="hidden" r:id="rId5"/>
  </sheets>
  <definedNames>
    <definedName name="_xlnm._FilterDatabase" localSheetId="1" hidden="1">Expenses!$A$1:$D$85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K1" i="1"/>
  <c r="K8" i="1" s="1"/>
  <c r="K9" i="1" s="1"/>
  <c r="J1" i="2" l="1"/>
  <c r="J3" i="2" s="1"/>
</calcChain>
</file>

<file path=xl/sharedStrings.xml><?xml version="1.0" encoding="utf-8"?>
<sst xmlns="http://schemas.openxmlformats.org/spreadsheetml/2006/main" count="625" uniqueCount="267">
  <si>
    <t>DATE</t>
  </si>
  <si>
    <t>AMOUNT</t>
  </si>
  <si>
    <t>MODE OF PAYMENT</t>
  </si>
  <si>
    <t>DESCRIPTION</t>
  </si>
  <si>
    <t>TYPE OF EXPENSE</t>
  </si>
  <si>
    <t>PETTY CASH</t>
  </si>
  <si>
    <t>Cash Received:</t>
  </si>
  <si>
    <t>Amount Spent:</t>
  </si>
  <si>
    <t>Paid advance for Concrete Machine</t>
  </si>
  <si>
    <t>OFFICE ASSET</t>
  </si>
  <si>
    <t>JCB</t>
  </si>
  <si>
    <t>Paid to Prakash for buying Concrete Machine</t>
  </si>
  <si>
    <t>Vibrator and Safety Shoe (2 nos)</t>
  </si>
  <si>
    <t>Grand Total</t>
  </si>
  <si>
    <t>Balance:</t>
  </si>
  <si>
    <t>2*3 Sheet 23nos 379Kg 400 for transport 63Rs/kg</t>
  </si>
  <si>
    <t>Details for Sum of AMOUNT - TYPE OF EXPENSE: OFFICE ASSET</t>
  </si>
  <si>
    <t>Total Amount Received:</t>
  </si>
  <si>
    <t>Total_Amount</t>
  </si>
  <si>
    <t>PAID BY</t>
  </si>
  <si>
    <t>MASON MATERIALS</t>
  </si>
  <si>
    <t>CENTRING MATERIALS</t>
  </si>
  <si>
    <t>PETROL-GENSET</t>
  </si>
  <si>
    <t>BUILDING MATERIALS</t>
  </si>
  <si>
    <t>OTHER TRANSPORT</t>
  </si>
  <si>
    <t>Expense</t>
  </si>
  <si>
    <t>MASON LABOUR</t>
  </si>
  <si>
    <t>CENTRING LABOUR</t>
  </si>
  <si>
    <t>TEA</t>
  </si>
  <si>
    <t>DIESEL-MACHINE</t>
  </si>
  <si>
    <t>CENTRING RENTALS</t>
  </si>
  <si>
    <t>CONCRETE GROUP</t>
  </si>
  <si>
    <t>SALT WATER</t>
  </si>
  <si>
    <t>ELECTRICIAL LABOUR</t>
  </si>
  <si>
    <t>PLUMBING LABOUR</t>
  </si>
  <si>
    <t>PAINTING LABOUR</t>
  </si>
  <si>
    <t>RENTAL TRANSPORT</t>
  </si>
  <si>
    <t>LABOUR TRANSPORT</t>
  </si>
  <si>
    <t>SK SITE</t>
  </si>
  <si>
    <t>GSQUARE SITE</t>
  </si>
  <si>
    <t>MATERIALS:</t>
  </si>
  <si>
    <t>LABOUR:</t>
  </si>
  <si>
    <t>TRANSFER:</t>
  </si>
  <si>
    <t>Project Value:</t>
  </si>
  <si>
    <t>Amount Received:</t>
  </si>
  <si>
    <t>ELECTRICAL MATERIALS</t>
  </si>
  <si>
    <t>PLUMBING MATERIALS</t>
  </si>
  <si>
    <t>FABRICATION WORK</t>
  </si>
  <si>
    <t>PILE - COMPOUND</t>
  </si>
  <si>
    <t>Site Cleaning Knife</t>
  </si>
  <si>
    <t>Pooja items</t>
  </si>
  <si>
    <t>Site Cleaning and Shifting Waste</t>
  </si>
  <si>
    <t>White Cement</t>
  </si>
  <si>
    <t>Twin for Marking</t>
  </si>
  <si>
    <t>Labour Petrol</t>
  </si>
  <si>
    <t>Bore Point Charges</t>
  </si>
  <si>
    <t>Bore Pooja Expense</t>
  </si>
  <si>
    <t>Soil Test Salt Water</t>
  </si>
  <si>
    <t>A3 Printouts for Meeting</t>
  </si>
  <si>
    <t>CLIENT</t>
  </si>
  <si>
    <t>CASH</t>
  </si>
  <si>
    <t>GST</t>
  </si>
  <si>
    <t>NO</t>
  </si>
  <si>
    <t>Extra Work Amount:</t>
  </si>
  <si>
    <t>Soil Test</t>
  </si>
  <si>
    <t xml:space="preserve">JCB charges fro Borewell Pit Work </t>
  </si>
  <si>
    <t>DESIGN CHARGES</t>
  </si>
  <si>
    <t>Elevation Advance</t>
  </si>
  <si>
    <t xml:space="preserve">Mamutty Bond Uli Suthi </t>
  </si>
  <si>
    <t>Tamil Karthi Breakfast</t>
  </si>
  <si>
    <t>Printout Laminations</t>
  </si>
  <si>
    <t>Cutting blade</t>
  </si>
  <si>
    <t>UPI</t>
  </si>
  <si>
    <t>Extra Bill (JCB,Soil Tetst)</t>
  </si>
  <si>
    <t>JCB Advance Earth work</t>
  </si>
  <si>
    <t>Pooru Maram 50 nos 220rs</t>
  </si>
  <si>
    <t>AK Steels Part payment</t>
  </si>
  <si>
    <t>Kumar lab payment</t>
  </si>
  <si>
    <t>Tamil Karthi</t>
  </si>
  <si>
    <t>Advance Payment</t>
  </si>
  <si>
    <t>Barrel two nos</t>
  </si>
  <si>
    <t>Barrel Porter</t>
  </si>
  <si>
    <t>Anti Termite Footing</t>
  </si>
  <si>
    <t>Chair Pot Tumbler for Site</t>
  </si>
  <si>
    <t>Brick 12K Nos - 12.10*12000</t>
  </si>
  <si>
    <t>Steel Part Payment</t>
  </si>
  <si>
    <t>DIGITAL SURVEY</t>
  </si>
  <si>
    <t>Footing Marking and Column Marking</t>
  </si>
  <si>
    <t>Gas and Stove for Mason Labors Kumar</t>
  </si>
  <si>
    <t>Kumar Mason Lab Payment</t>
  </si>
  <si>
    <t>Paid for Earthwork</t>
  </si>
  <si>
    <t>PCC for Footing</t>
  </si>
  <si>
    <t>For Client Work - EB board temprorary</t>
  </si>
  <si>
    <t>Iyappan mesthiri Advance</t>
  </si>
  <si>
    <t>Elevation Pending Amt</t>
  </si>
  <si>
    <t>Focus light and Electrical boxes client scope</t>
  </si>
  <si>
    <t>Prakash team for earth work</t>
  </si>
  <si>
    <t>Seemar Level tube - Karthi Spent</t>
  </si>
  <si>
    <t>SALARY</t>
  </si>
  <si>
    <t>Tarpoulin 1 noa</t>
  </si>
  <si>
    <t>Pooja expense</t>
  </si>
  <si>
    <t>Saravanan Adv</t>
  </si>
  <si>
    <t>Kumar Adv</t>
  </si>
  <si>
    <t>Debrish from GN Mills</t>
  </si>
  <si>
    <t>SIM Card for Camera</t>
  </si>
  <si>
    <t xml:space="preserve">Breakfast </t>
  </si>
  <si>
    <t>Column Pooja</t>
  </si>
  <si>
    <t>Camera for Site Purchase</t>
  </si>
  <si>
    <t>Lunch Tamil Karthi</t>
  </si>
  <si>
    <t>Concret Lunch</t>
  </si>
  <si>
    <t>Waste Oil</t>
  </si>
  <si>
    <t>Kumar Lap Payment</t>
  </si>
  <si>
    <t>Earth work part payment</t>
  </si>
  <si>
    <t>Footing Concrete</t>
  </si>
  <si>
    <t>Column Shor marking</t>
  </si>
  <si>
    <t xml:space="preserve">Ayyapan Mesthiri Team </t>
  </si>
  <si>
    <t>AK Steels Pending amt</t>
  </si>
  <si>
    <t>RSK Part Payment</t>
  </si>
  <si>
    <t>Cement Part Payment</t>
  </si>
  <si>
    <t>Kumar extra time</t>
  </si>
  <si>
    <t>Moola mattam</t>
  </si>
  <si>
    <t>Brush Paint</t>
  </si>
  <si>
    <t>Steel Ani for marking</t>
  </si>
  <si>
    <t>Labour Tea</t>
  </si>
  <si>
    <t>Cement Purchase local 30bags</t>
  </si>
  <si>
    <t>Column concrete lab tea</t>
  </si>
  <si>
    <t>Column Concrete lab</t>
  </si>
  <si>
    <t>Refilling work part amt</t>
  </si>
  <si>
    <t>Mason lab adv saravanan</t>
  </si>
  <si>
    <t>Water line corporation work</t>
  </si>
  <si>
    <t>Weekly lab payment</t>
  </si>
  <si>
    <t>Pongal Amt</t>
  </si>
  <si>
    <t xml:space="preserve">Thimsu </t>
  </si>
  <si>
    <t>Tamil Karthi Annapoorna</t>
  </si>
  <si>
    <t>4 loads salt water for Footing Pit</t>
  </si>
  <si>
    <t>Saravanan lab payment</t>
  </si>
  <si>
    <t>Refilling amount</t>
  </si>
  <si>
    <t>Gravel Part amount</t>
  </si>
  <si>
    <t>Kairu Krumal</t>
  </si>
  <si>
    <t>Advance 1000 to saravan 520 from brick</t>
  </si>
  <si>
    <t>Mason lab adv Madhapan</t>
  </si>
  <si>
    <t>Extra Bill( Extra 3.5 ft depth)</t>
  </si>
  <si>
    <t>Extra Bill(Temproray EB work)</t>
  </si>
  <si>
    <t>With zenolia and Brinjal Farm</t>
  </si>
  <si>
    <t>Madhappan lab payment</t>
  </si>
  <si>
    <t>10K Cash 20K Acc for Iyyapan</t>
  </si>
  <si>
    <t>AK Steels Payment</t>
  </si>
  <si>
    <t>NV Associates Cement payment</t>
  </si>
  <si>
    <t>Palani Murugan Cement Payment</t>
  </si>
  <si>
    <t>Krishna Gravel Payment</t>
  </si>
  <si>
    <t>Lab tea wekly amt</t>
  </si>
  <si>
    <t>BF Tamil Ponraj</t>
  </si>
  <si>
    <t>Pooja items plinth beam</t>
  </si>
  <si>
    <t xml:space="preserve">Water Testing - ACC </t>
  </si>
  <si>
    <t>Iyyapan mesthiri payment plinth beam</t>
  </si>
  <si>
    <t>Advance to Iyappan Mesthiri Plinth beam</t>
  </si>
  <si>
    <t>Plinth concrete and sump flooring</t>
  </si>
  <si>
    <t>Sump earth work</t>
  </si>
  <si>
    <t>Concret Shoe for Labour New</t>
  </si>
  <si>
    <t>Brick 12K Nos - 12 * 12000</t>
  </si>
  <si>
    <t>Mattakool and Bond</t>
  </si>
  <si>
    <t xml:space="preserve">Kairu </t>
  </si>
  <si>
    <t>Plinth Stage Payment</t>
  </si>
  <si>
    <t>Labour Weekly Tea</t>
  </si>
  <si>
    <t>Ayyapan Mesthiri - Pending Amount(Plinth Sump Lift)</t>
  </si>
  <si>
    <t>Madhappan adv amount</t>
  </si>
  <si>
    <t>Lab Petrol Vibrator</t>
  </si>
  <si>
    <t>OTHERS</t>
  </si>
  <si>
    <t>Sump and Lift concrete</t>
  </si>
  <si>
    <t>Ayyapan plinth</t>
  </si>
  <si>
    <t>Lab weekly tea</t>
  </si>
  <si>
    <t>Ponraj Structural Charges</t>
  </si>
  <si>
    <t>Mason Lab Payment</t>
  </si>
  <si>
    <t>Hand dryer rent</t>
  </si>
  <si>
    <t>Blade for dryer</t>
  </si>
  <si>
    <t>Balance with Madhapan</t>
  </si>
  <si>
    <t>Cement payment palani murugan</t>
  </si>
  <si>
    <t>Gravel pending amount</t>
  </si>
  <si>
    <t>Besement part payment</t>
  </si>
  <si>
    <t>Iyyapan tie beam sump slab payment</t>
  </si>
  <si>
    <t>Tie beam cover slab sump/septic</t>
  </si>
  <si>
    <t>Gravel Shifting</t>
  </si>
  <si>
    <t>Measuring Tape</t>
  </si>
  <si>
    <t xml:space="preserve">Mason Labour </t>
  </si>
  <si>
    <t>Gravel part payment</t>
  </si>
  <si>
    <t>Shoe Rent</t>
  </si>
  <si>
    <t>Iyyapan Adv</t>
  </si>
  <si>
    <t>Anti Termite Basement</t>
  </si>
  <si>
    <t>Bob Cat basement Refilling</t>
  </si>
  <si>
    <t>Porter Wheel bar shifting</t>
  </si>
  <si>
    <t>Koni Sakku</t>
  </si>
  <si>
    <t>Mason Labour Madhappan</t>
  </si>
  <si>
    <t>Column box adv</t>
  </si>
  <si>
    <t>PCC and Column Concrete</t>
  </si>
  <si>
    <t>Anjeneya Bob Cat</t>
  </si>
  <si>
    <t>Basement payment</t>
  </si>
  <si>
    <t>Bal Cash With Madhappan</t>
  </si>
  <si>
    <t>Labour tea</t>
  </si>
  <si>
    <t>Rassamattam purchase</t>
  </si>
  <si>
    <t>Column Steel and Shuttering Work</t>
  </si>
  <si>
    <t>Madhapan Mason Adv</t>
  </si>
  <si>
    <t>Broom Stick - Nitish</t>
  </si>
  <si>
    <t>Cover block 2 box Nitish</t>
  </si>
  <si>
    <t>Pooja exp brick work Nitish</t>
  </si>
  <si>
    <t>Sponge  Nitish</t>
  </si>
  <si>
    <t>Ladder for concrete 2 nos 2 days Nitish</t>
  </si>
  <si>
    <t>Sara kairu Gloves etc Nitish</t>
  </si>
  <si>
    <t>Ayyapan advance</t>
  </si>
  <si>
    <t>Night shift tea lab</t>
  </si>
  <si>
    <t>Lindel Stage Payment</t>
  </si>
  <si>
    <t>Madhappan Mason Lab</t>
  </si>
  <si>
    <t>Lindel Concrete</t>
  </si>
  <si>
    <t>Iyyapan lindel payment</t>
  </si>
  <si>
    <t>Vel brick</t>
  </si>
  <si>
    <t>Chakra cement payment</t>
  </si>
  <si>
    <t>Lab tea Nithish</t>
  </si>
  <si>
    <t>From Happy town Lab auto</t>
  </si>
  <si>
    <t>Iyyapann lindel bal</t>
  </si>
  <si>
    <t>Lab advance Iyyapan</t>
  </si>
  <si>
    <t>Transport to HT - Nithish</t>
  </si>
  <si>
    <t>Nithish</t>
  </si>
  <si>
    <t>Focus fuse - Selvam</t>
  </si>
  <si>
    <t>Wire Purchase for Focus night work</t>
  </si>
  <si>
    <t>Iyyapan bal amt +20K adv for roof</t>
  </si>
  <si>
    <t>AK steels roof steel part payment</t>
  </si>
  <si>
    <t>Dsp to Doctor site - Nithish</t>
  </si>
  <si>
    <t>Tape for Roof Nithish</t>
  </si>
  <si>
    <t>Electrical Items for roof</t>
  </si>
  <si>
    <t>Breakfast Roof concrete</t>
  </si>
  <si>
    <t>Pooja Roof conrete</t>
  </si>
  <si>
    <t>Selvam Roof Payment</t>
  </si>
  <si>
    <t>Prakash Roof Conctrete</t>
  </si>
  <si>
    <t>Roof stage payment</t>
  </si>
  <si>
    <t>Iyyapan roof advance payment</t>
  </si>
  <si>
    <t>Lab from DSP site</t>
  </si>
  <si>
    <t>Concrete Labours</t>
  </si>
  <si>
    <t>Pooja items news paper roof conc Nithish</t>
  </si>
  <si>
    <t>From SK site Nithish</t>
  </si>
  <si>
    <t>Column Shoe Nithish</t>
  </si>
  <si>
    <t>Printout</t>
  </si>
  <si>
    <t>Drinking Water Concrete lab</t>
  </si>
  <si>
    <t>Iyyapan Adv - 1000 muniappan 4400 lab payment</t>
  </si>
  <si>
    <t>Selvam Roof Concrete work</t>
  </si>
  <si>
    <t>Madhappan xtra</t>
  </si>
  <si>
    <t>Column Box adv FF</t>
  </si>
  <si>
    <t>DIESEL</t>
  </si>
  <si>
    <t>Car Diesel</t>
  </si>
  <si>
    <t>Column box bal FF</t>
  </si>
  <si>
    <t>Mason Advance Madhappan</t>
  </si>
  <si>
    <t>Fitter Adv</t>
  </si>
  <si>
    <t>Rapido Fitter Nithish</t>
  </si>
  <si>
    <t>Lift Machine Shifting</t>
  </si>
  <si>
    <t>Concrete tea</t>
  </si>
  <si>
    <t>Column Box bal Payment</t>
  </si>
  <si>
    <t>Welding Work Wheel Bar</t>
  </si>
  <si>
    <t>Tube level Purchase</t>
  </si>
  <si>
    <t>Tea</t>
  </si>
  <si>
    <t>Madhappan Extra</t>
  </si>
  <si>
    <t>Fitter Lab Payment</t>
  </si>
  <si>
    <t>Kannan Extra</t>
  </si>
  <si>
    <t>Anbu Extra</t>
  </si>
  <si>
    <t>Concrete Prakash</t>
  </si>
  <si>
    <t>Vel brick 10000 nos</t>
  </si>
  <si>
    <t>Ramdev Part Payment</t>
  </si>
  <si>
    <t>Advance roof pending amt</t>
  </si>
  <si>
    <t>Lab Tea</t>
  </si>
  <si>
    <t>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</si>
</sst>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dd/mm/yy"/>
    <numFmt numFmtId="165" formatCode="&quot;₹&quot;\ #,##0.00;[Red]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4" fillId="0" borderId="1" xfId="0" applyFont="1" applyBorder="1"/>
    <xf numFmtId="0" fontId="3" fillId="0" borderId="0" xfId="0" applyFont="1"/>
    <xf numFmtId="8" fontId="0" fillId="0" borderId="1" xfId="0" applyNumberFormat="1" applyBorder="1"/>
    <xf numFmtId="8" fontId="0" fillId="0" borderId="0" xfId="0" applyNumberFormat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16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21">
    <dxf>
      <numFmt numFmtId="19" formatCode="dd/mm/yyyy"/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" refreshedDate="46148.548349537035" createdVersion="8" refreshedVersion="8" minRefreshableVersion="3" recordCount="238" xr:uid="{ECDDBE9B-8132-48D6-AEC8-4A5EB49DBA77}">
  <cacheSource type="worksheet">
    <worksheetSource ref="A1:D1009" sheet="Expenses"/>
  </cacheSource>
  <cacheFields count="4">
    <cacheField name="DATE" numFmtId="164">
      <sharedItems containsNonDate="0" containsDate="1" containsString="0" containsBlank="1" minDate="2025-11-09T00:00:00" maxDate="2026-05-05T00:00:00"/>
    </cacheField>
    <cacheField name="TYPE OF EXPENSE" numFmtId="0">
      <sharedItems containsBlank="1" count="26">
        <s v="PETTY CASH"/>
        <s v="DESIGN CHARGES"/>
        <s v="MASON MATERIALS"/>
        <s v="JCB"/>
        <s v="BUILDING MATERIALS"/>
        <s v="MASON LABOUR"/>
        <s v="TEA"/>
        <s v="OTHER TRANSPORT"/>
        <s v="DIGITAL SURVEY"/>
        <s v="CONCRETE GROUP"/>
        <s v="ELECTRICIAL LABOUR"/>
        <s v="CENTRING LABOUR"/>
        <s v="SALARY"/>
        <s v="SALT WATER"/>
        <s v="OTHERS"/>
        <s v="LABOUR TRANSPORT"/>
        <s v="CENTRING RENTALS"/>
        <s v="CENTRING MATERIALS"/>
        <s v="DIESEL"/>
        <m/>
        <s v="PETROL-GENSET" u="1"/>
        <s v="DIESEL-MACHINE" u="1"/>
        <s v="ELECTRICIAL" u="1"/>
        <s v="SK SITE" u="1"/>
        <s v="GSQUARE SITE" u="1"/>
        <s v="ELECTRICAL MATERIALS" u="1"/>
      </sharedItems>
    </cacheField>
    <cacheField name="AMOUNT" numFmtId="165">
      <sharedItems containsString="0" containsBlank="1" containsNumber="1" containsInteger="1" minValue="30" maxValue="2000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d v="2025-11-30T00:00:00"/>
    <x v="0"/>
    <n v="180"/>
    <s v="Site Cleaning Knife"/>
  </r>
  <r>
    <d v="2025-11-30T00:00:00"/>
    <x v="0"/>
    <n v="1800"/>
    <s v="Pooja items"/>
  </r>
  <r>
    <d v="2025-11-09T00:00:00"/>
    <x v="0"/>
    <n v="13000"/>
    <s v="Site Cleaning and Shifting Waste"/>
  </r>
  <r>
    <d v="2025-11-09T00:00:00"/>
    <x v="0"/>
    <n v="250"/>
    <s v="White Cement"/>
  </r>
  <r>
    <d v="2025-11-09T00:00:00"/>
    <x v="0"/>
    <n v="140"/>
    <s v="Twin for Marking"/>
  </r>
  <r>
    <d v="2025-11-09T00:00:00"/>
    <x v="0"/>
    <n v="300"/>
    <s v="Labour Petrol"/>
  </r>
  <r>
    <d v="2025-11-09T00:00:00"/>
    <x v="0"/>
    <n v="2500"/>
    <s v="Bore Point Charges"/>
  </r>
  <r>
    <d v="2025-12-10T00:00:00"/>
    <x v="0"/>
    <n v="150"/>
    <s v="Bore Pooja Expense"/>
  </r>
  <r>
    <d v="2025-12-11T00:00:00"/>
    <x v="0"/>
    <n v="300"/>
    <s v="Soil Test Salt Water"/>
  </r>
  <r>
    <d v="2025-12-12T00:00:00"/>
    <x v="0"/>
    <n v="180"/>
    <s v="A3 Printouts for Meeting"/>
  </r>
  <r>
    <d v="2025-12-13T00:00:00"/>
    <x v="0"/>
    <n v="200"/>
    <s v="Labour Petrol"/>
  </r>
  <r>
    <d v="2025-12-16T00:00:00"/>
    <x v="0"/>
    <n v="17000"/>
    <s v="Soil Test"/>
  </r>
  <r>
    <d v="2025-12-17T00:00:00"/>
    <x v="0"/>
    <n v="6500"/>
    <s v="JCB charges fro Borewell Pit Work "/>
  </r>
  <r>
    <d v="2025-12-19T00:00:00"/>
    <x v="1"/>
    <n v="4000"/>
    <s v="Elevation Advance"/>
  </r>
  <r>
    <d v="2025-12-25T00:00:00"/>
    <x v="2"/>
    <n v="3220"/>
    <s v="Mamutty Bond Uli Suthi "/>
  </r>
  <r>
    <d v="2025-12-25T00:00:00"/>
    <x v="0"/>
    <n v="350"/>
    <s v="Tamil Karthi Breakfast"/>
  </r>
  <r>
    <d v="2025-12-25T00:00:00"/>
    <x v="0"/>
    <n v="375"/>
    <s v="Printout Laminations"/>
  </r>
  <r>
    <d v="2025-12-26T00:00:00"/>
    <x v="2"/>
    <n v="150"/>
    <s v="Cutting blade"/>
  </r>
  <r>
    <d v="2025-12-26T00:00:00"/>
    <x v="3"/>
    <n v="10000"/>
    <s v="JCB Advance Earth work"/>
  </r>
  <r>
    <d v="2025-12-27T00:00:00"/>
    <x v="3"/>
    <n v="15000"/>
    <s v="JCB Advance Earth work"/>
  </r>
  <r>
    <d v="2025-12-27T00:00:00"/>
    <x v="2"/>
    <n v="12500"/>
    <s v="Pooru Maram 50 nos 220rs"/>
  </r>
  <r>
    <d v="2025-12-27T00:00:00"/>
    <x v="4"/>
    <n v="100000"/>
    <s v="AK Steels Part payment"/>
  </r>
  <r>
    <d v="2025-12-27T00:00:00"/>
    <x v="5"/>
    <n v="3800"/>
    <s v="Kumar lab payment"/>
  </r>
  <r>
    <d v="2025-12-27T00:00:00"/>
    <x v="6"/>
    <n v="155"/>
    <s v="Tamil Karthi"/>
  </r>
  <r>
    <d v="2025-12-29T00:00:00"/>
    <x v="2"/>
    <n v="1400"/>
    <s v="Barrel two nos"/>
  </r>
  <r>
    <d v="2025-12-29T00:00:00"/>
    <x v="7"/>
    <n v="630"/>
    <s v="Barrel Porter"/>
  </r>
  <r>
    <d v="2025-12-30T00:00:00"/>
    <x v="0"/>
    <n v="1550"/>
    <s v="Anti Termite Footing"/>
  </r>
  <r>
    <d v="2025-12-30T00:00:00"/>
    <x v="3"/>
    <n v="50000"/>
    <s v="JCB Advance Earth work"/>
  </r>
  <r>
    <d v="2025-12-31T00:00:00"/>
    <x v="0"/>
    <n v="2500"/>
    <s v="Chair Pot Tumbler for Site"/>
  </r>
  <r>
    <d v="2025-12-31T00:00:00"/>
    <x v="4"/>
    <n v="145000"/>
    <s v="Brick 12K Nos - 12.10*12000"/>
  </r>
  <r>
    <d v="2025-12-31T00:00:00"/>
    <x v="4"/>
    <n v="140000"/>
    <s v="Steel Part Payment"/>
  </r>
  <r>
    <d v="2025-12-31T00:00:00"/>
    <x v="8"/>
    <n v="10000"/>
    <s v="Footing Marking and Column Marking"/>
  </r>
  <r>
    <d v="2026-01-02T00:00:00"/>
    <x v="0"/>
    <n v="4000"/>
    <s v="Gas and Stove for Mason Labors Kumar"/>
  </r>
  <r>
    <d v="2026-01-03T00:00:00"/>
    <x v="5"/>
    <n v="26000"/>
    <s v="Kumar Mason Lab Payment"/>
  </r>
  <r>
    <d v="2026-01-03T00:00:00"/>
    <x v="3"/>
    <n v="30000"/>
    <s v="Paid for Earthwork"/>
  </r>
  <r>
    <d v="2026-01-03T00:00:00"/>
    <x v="9"/>
    <n v="15000"/>
    <s v="PCC for Footing"/>
  </r>
  <r>
    <d v="2026-01-03T00:00:00"/>
    <x v="10"/>
    <n v="2000"/>
    <s v="For Client Work - EB board temprorary"/>
  </r>
  <r>
    <d v="2026-01-03T00:00:00"/>
    <x v="11"/>
    <n v="10000"/>
    <s v="Iyappan mesthiri Advance"/>
  </r>
  <r>
    <d v="2026-01-03T00:00:00"/>
    <x v="0"/>
    <n v="5750"/>
    <s v="Focus light and Electrical boxes client scope"/>
  </r>
  <r>
    <d v="2026-01-03T00:00:00"/>
    <x v="5"/>
    <n v="3500"/>
    <s v="Prakash team for earth work"/>
  </r>
  <r>
    <d v="2026-01-03T00:00:00"/>
    <x v="2"/>
    <n v="560"/>
    <s v="Seemar Level tube - Karthi Spent"/>
  </r>
  <r>
    <d v="2026-01-04T00:00:00"/>
    <x v="1"/>
    <n v="4000"/>
    <s v="Elevation Pending Amt"/>
  </r>
  <r>
    <d v="2026-01-05T00:00:00"/>
    <x v="12"/>
    <n v="100000"/>
    <s v="Tamil Karthi"/>
  </r>
  <r>
    <d v="2026-01-06T00:00:00"/>
    <x v="0"/>
    <n v="1080"/>
    <s v="Tarpoulin 1 noa"/>
  </r>
  <r>
    <d v="2026-01-07T00:00:00"/>
    <x v="0"/>
    <n v="250"/>
    <s v="Pooja expense"/>
  </r>
  <r>
    <d v="2026-01-07T00:00:00"/>
    <x v="5"/>
    <n v="2000"/>
    <s v="Saravanan Adv"/>
  </r>
  <r>
    <d v="2026-01-07T00:00:00"/>
    <x v="5"/>
    <n v="1500"/>
    <s v="Kumar Adv"/>
  </r>
  <r>
    <d v="2026-01-07T00:00:00"/>
    <x v="7"/>
    <n v="530"/>
    <s v="Debrish from GN Mills"/>
  </r>
  <r>
    <d v="2026-01-08T00:00:00"/>
    <x v="0"/>
    <n v="400"/>
    <s v="SIM Card for Camera"/>
  </r>
  <r>
    <d v="2026-01-09T00:00:00"/>
    <x v="6"/>
    <n v="380"/>
    <s v="Breakfast "/>
  </r>
  <r>
    <d v="2026-01-09T00:00:00"/>
    <x v="0"/>
    <n v="100"/>
    <s v="Column Pooja"/>
  </r>
  <r>
    <d v="2026-01-09T00:00:00"/>
    <x v="0"/>
    <n v="10000"/>
    <s v="Camera for Site Purchase"/>
  </r>
  <r>
    <d v="2026-01-09T00:00:00"/>
    <x v="6"/>
    <n v="670"/>
    <s v="Lunch Tamil Karthi"/>
  </r>
  <r>
    <d v="2026-01-09T00:00:00"/>
    <x v="9"/>
    <n v="1700"/>
    <s v="Concret Lunch"/>
  </r>
  <r>
    <d v="2026-01-09T00:00:00"/>
    <x v="6"/>
    <n v="100"/>
    <s v="Tamil Karthi"/>
  </r>
  <r>
    <d v="2026-01-10T00:00:00"/>
    <x v="0"/>
    <n v="50"/>
    <s v="Waste Oil"/>
  </r>
  <r>
    <d v="2026-01-10T00:00:00"/>
    <x v="5"/>
    <n v="24050"/>
    <s v="Kumar Lap Payment"/>
  </r>
  <r>
    <d v="2026-01-10T00:00:00"/>
    <x v="3"/>
    <n v="10000"/>
    <s v="Earth work part payment"/>
  </r>
  <r>
    <d v="2026-01-10T00:00:00"/>
    <x v="9"/>
    <n v="22000"/>
    <s v="Footing Concrete"/>
  </r>
  <r>
    <d v="2026-01-10T00:00:00"/>
    <x v="8"/>
    <n v="5000"/>
    <s v="Column Shor marking"/>
  </r>
  <r>
    <d v="2026-01-10T00:00:00"/>
    <x v="11"/>
    <n v="70000"/>
    <s v="Ayyapan Mesthiri Team "/>
  </r>
  <r>
    <d v="2026-01-10T00:00:00"/>
    <x v="4"/>
    <n v="52000"/>
    <s v="AK Steels Pending amt"/>
  </r>
  <r>
    <d v="2026-01-10T00:00:00"/>
    <x v="4"/>
    <n v="100000"/>
    <s v="RSK Part Payment"/>
  </r>
  <r>
    <d v="2026-01-10T00:00:00"/>
    <x v="4"/>
    <n v="1950"/>
    <s v="Cement Part Payment"/>
  </r>
  <r>
    <d v="2026-01-10T00:00:00"/>
    <x v="5"/>
    <n v="550"/>
    <s v="Kumar extra time"/>
  </r>
  <r>
    <d v="2026-01-10T00:00:00"/>
    <x v="2"/>
    <n v="350"/>
    <s v="Moola mattam"/>
  </r>
  <r>
    <d v="2026-01-10T00:00:00"/>
    <x v="0"/>
    <n v="100"/>
    <s v="Brush Paint"/>
  </r>
  <r>
    <d v="2026-01-10T00:00:00"/>
    <x v="0"/>
    <n v="100"/>
    <s v="Steel Ani for marking"/>
  </r>
  <r>
    <d v="2026-01-10T00:00:00"/>
    <x v="6"/>
    <n v="880"/>
    <s v="Labour Tea"/>
  </r>
  <r>
    <d v="2026-01-11T00:00:00"/>
    <x v="4"/>
    <n v="9000"/>
    <s v="Cement Purchase local 30bags"/>
  </r>
  <r>
    <d v="2026-01-11T00:00:00"/>
    <x v="6"/>
    <n v="400"/>
    <s v="Column concrete lab tea"/>
  </r>
  <r>
    <d v="2026-01-14T00:00:00"/>
    <x v="9"/>
    <n v="12500"/>
    <s v="Column Concrete lab"/>
  </r>
  <r>
    <d v="2026-01-14T00:00:00"/>
    <x v="3"/>
    <n v="15000"/>
    <s v="Refilling work part amt"/>
  </r>
  <r>
    <d v="2026-01-14T00:00:00"/>
    <x v="5"/>
    <n v="1000"/>
    <s v="Mason lab adv saravanan"/>
  </r>
  <r>
    <d v="2026-01-07T00:00:00"/>
    <x v="5"/>
    <n v="500"/>
    <s v="Pongal Amt"/>
  </r>
  <r>
    <d v="2026-01-19T00:00:00"/>
    <x v="0"/>
    <n v="1000"/>
    <s v="Water line corporation work"/>
  </r>
  <r>
    <d v="2026-01-20T00:00:00"/>
    <x v="5"/>
    <n v="16700"/>
    <s v="Weekly lab payment"/>
  </r>
  <r>
    <d v="2026-01-22T00:00:00"/>
    <x v="2"/>
    <n v="830"/>
    <s v="Thimsu "/>
  </r>
  <r>
    <d v="2026-01-22T00:00:00"/>
    <x v="6"/>
    <n v="170"/>
    <s v="Tamil Karthi Annapoorna"/>
  </r>
  <r>
    <d v="2026-01-23T00:00:00"/>
    <x v="13"/>
    <n v="7200"/>
    <s v="4 loads salt water for Footing Pit"/>
  </r>
  <r>
    <d v="2026-01-23T00:00:00"/>
    <x v="6"/>
    <n v="75"/>
    <s v="Tamil Karthi"/>
  </r>
  <r>
    <d v="2026-01-24T00:00:00"/>
    <x v="5"/>
    <n v="11400"/>
    <s v="Saravanan lab payment"/>
  </r>
  <r>
    <d v="2026-01-24T00:00:00"/>
    <x v="3"/>
    <n v="15000"/>
    <s v="Refilling amount"/>
  </r>
  <r>
    <d v="2026-01-24T00:00:00"/>
    <x v="4"/>
    <n v="100000"/>
    <s v="Gravel Part amount"/>
  </r>
  <r>
    <d v="2026-01-24T00:00:00"/>
    <x v="2"/>
    <n v="230"/>
    <s v="Kairu Krumal"/>
  </r>
  <r>
    <d v="2026-01-28T00:00:00"/>
    <x v="5"/>
    <n v="1500"/>
    <s v="Advance 1000 to saravan 520 from brick"/>
  </r>
  <r>
    <d v="2026-01-29T00:00:00"/>
    <x v="5"/>
    <n v="3000"/>
    <s v="Mason lab adv Madhapan"/>
  </r>
  <r>
    <d v="2026-01-29T00:00:00"/>
    <x v="6"/>
    <n v="100"/>
    <s v="With zenolia and Brinjal Farm"/>
  </r>
  <r>
    <d v="2026-01-31T00:00:00"/>
    <x v="5"/>
    <n v="25200"/>
    <s v="Madhappan lab payment"/>
  </r>
  <r>
    <d v="2026-01-31T00:00:00"/>
    <x v="11"/>
    <n v="30000"/>
    <s v="10K Cash 20K Acc for Iyyapan"/>
  </r>
  <r>
    <d v="2026-01-31T00:00:00"/>
    <x v="4"/>
    <n v="115000"/>
    <s v="AK Steels Payment"/>
  </r>
  <r>
    <d v="2026-01-31T00:00:00"/>
    <x v="4"/>
    <n v="15000"/>
    <s v="NV Associates Cement payment"/>
  </r>
  <r>
    <d v="2026-01-31T00:00:00"/>
    <x v="4"/>
    <n v="30000"/>
    <s v="Palani Murugan Cement Payment"/>
  </r>
  <r>
    <d v="2026-01-31T00:00:00"/>
    <x v="4"/>
    <n v="40000"/>
    <s v="Krishna Gravel Payment"/>
  </r>
  <r>
    <d v="2026-02-03T00:00:00"/>
    <x v="6"/>
    <n v="700"/>
    <s v="Lab tea wekly amt"/>
  </r>
  <r>
    <d v="2026-02-04T00:00:00"/>
    <x v="12"/>
    <n v="40000"/>
    <s v="Tamil Karthi"/>
  </r>
  <r>
    <d v="2026-02-04T00:00:00"/>
    <x v="6"/>
    <n v="220"/>
    <s v="BF Tamil Ponraj"/>
  </r>
  <r>
    <d v="2026-02-04T00:00:00"/>
    <x v="0"/>
    <n v="150"/>
    <s v="Pooja items plinth beam"/>
  </r>
  <r>
    <d v="2026-02-04T00:00:00"/>
    <x v="11"/>
    <n v="10000"/>
    <s v="Advance to Iyappan Mesthiri Plinth beam"/>
  </r>
  <r>
    <d v="2026-02-05T00:00:00"/>
    <x v="14"/>
    <n v="1750"/>
    <s v="Water Testing - ACC "/>
  </r>
  <r>
    <d v="2026-02-07T00:00:00"/>
    <x v="5"/>
    <n v="25650"/>
    <s v="Madhappan lab payment"/>
  </r>
  <r>
    <d v="2026-02-07T00:00:00"/>
    <x v="11"/>
    <n v="40000"/>
    <s v="Iyyapan mesthiri payment plinth beam"/>
  </r>
  <r>
    <d v="2026-02-07T00:00:00"/>
    <x v="9"/>
    <n v="16800"/>
    <s v="Plinth concrete and sump flooring"/>
  </r>
  <r>
    <d v="2026-02-07T00:00:00"/>
    <x v="3"/>
    <n v="7400"/>
    <s v="Sump earth work"/>
  </r>
  <r>
    <d v="2026-02-07T00:00:00"/>
    <x v="4"/>
    <n v="30000"/>
    <s v="NV Associates Cement payment"/>
  </r>
  <r>
    <d v="2026-02-07T00:00:00"/>
    <x v="0"/>
    <n v="1200"/>
    <s v="Concret Shoe for Labour New"/>
  </r>
  <r>
    <d v="2026-02-07T00:00:00"/>
    <x v="4"/>
    <n v="144000"/>
    <s v="Brick 12K Nos - 12 * 12000"/>
  </r>
  <r>
    <d v="2026-02-09T00:00:00"/>
    <x v="2"/>
    <n v="1460"/>
    <s v="Mattakool and Bond"/>
  </r>
  <r>
    <d v="2026-02-09T00:00:00"/>
    <x v="0"/>
    <n v="130"/>
    <s v="Kairu "/>
  </r>
  <r>
    <d v="2026-02-09T00:00:00"/>
    <x v="4"/>
    <n v="40000"/>
    <s v="Palani Murugan Cement Payment"/>
  </r>
  <r>
    <d v="2026-02-11T00:00:00"/>
    <x v="6"/>
    <n v="700"/>
    <s v="Labour Weekly Tea"/>
  </r>
  <r>
    <d v="2026-02-11T00:00:00"/>
    <x v="11"/>
    <n v="20000"/>
    <s v="Ayyapan Mesthiri - Pending Amount(Plinth Sump Lift)"/>
  </r>
  <r>
    <d v="2026-02-13T00:00:00"/>
    <x v="5"/>
    <n v="5000"/>
    <s v="Madhappan adv amount"/>
  </r>
  <r>
    <d v="2026-02-13T00:00:00"/>
    <x v="15"/>
    <n v="100"/>
    <s v="Lab Petrol Vibrator"/>
  </r>
  <r>
    <d v="2026-02-14T00:00:00"/>
    <x v="5"/>
    <n v="65300"/>
    <s v="Madhappan lab payment"/>
  </r>
  <r>
    <d v="2026-02-14T00:00:00"/>
    <x v="9"/>
    <n v="14000"/>
    <s v="Sump and Lift concrete"/>
  </r>
  <r>
    <d v="2026-02-14T00:00:00"/>
    <x v="4"/>
    <n v="100000"/>
    <s v="Steel Part Payment"/>
  </r>
  <r>
    <d v="2026-02-14T00:00:00"/>
    <x v="4"/>
    <n v="30000"/>
    <s v="Cement Part Payment"/>
  </r>
  <r>
    <d v="2026-02-14T00:00:00"/>
    <x v="4"/>
    <n v="100000"/>
    <s v="RSK Part Payment"/>
  </r>
  <r>
    <d v="2026-02-14T00:00:00"/>
    <x v="11"/>
    <n v="43500"/>
    <s v="Ayyapan plinth"/>
  </r>
  <r>
    <d v="2026-02-18T00:00:00"/>
    <x v="6"/>
    <n v="1000"/>
    <s v="Lab weekly tea"/>
  </r>
  <r>
    <d v="2026-02-21T00:00:00"/>
    <x v="1"/>
    <n v="2500"/>
    <s v="Ponraj Structural Charges"/>
  </r>
  <r>
    <d v="2026-02-21T00:00:00"/>
    <x v="5"/>
    <n v="26450"/>
    <s v="Mason Lab Payment"/>
  </r>
  <r>
    <d v="2026-02-21T00:00:00"/>
    <x v="0"/>
    <n v="100"/>
    <s v="Hand dryer rent"/>
  </r>
  <r>
    <d v="2026-02-21T00:00:00"/>
    <x v="0"/>
    <n v="110"/>
    <s v="Blade for dryer"/>
  </r>
  <r>
    <d v="2026-02-21T00:00:00"/>
    <x v="5"/>
    <n v="340"/>
    <s v="Balance with Madhapan"/>
  </r>
  <r>
    <d v="2026-02-21T00:00:00"/>
    <x v="4"/>
    <n v="20000"/>
    <s v="Cement payment palani murugan"/>
  </r>
  <r>
    <d v="2026-02-21T00:00:00"/>
    <x v="4"/>
    <n v="5900"/>
    <s v="Gravel pending amount"/>
  </r>
  <r>
    <d v="2026-02-21T00:00:00"/>
    <x v="11"/>
    <n v="50000"/>
    <s v="Iyyapan tie beam sump slab payment"/>
  </r>
  <r>
    <d v="2026-02-21T00:00:00"/>
    <x v="9"/>
    <n v="15000"/>
    <s v="Tie beam cover slab sump/septic"/>
  </r>
  <r>
    <d v="2026-02-24T00:00:00"/>
    <x v="3"/>
    <n v="3800"/>
    <s v="Gravel Shifting"/>
  </r>
  <r>
    <d v="2026-02-26T00:00:00"/>
    <x v="6"/>
    <n v="800"/>
    <s v="Labour Tea"/>
  </r>
  <r>
    <d v="2026-02-28T00:00:00"/>
    <x v="0"/>
    <n v="680"/>
    <s v="Measuring Tape"/>
  </r>
  <r>
    <d v="2026-02-28T00:00:00"/>
    <x v="16"/>
    <n v="490"/>
    <s v="Shoe Rent"/>
  </r>
  <r>
    <d v="2026-02-28T00:00:00"/>
    <x v="5"/>
    <n v="16050"/>
    <s v="Mason Labour "/>
  </r>
  <r>
    <d v="2026-02-28T00:00:00"/>
    <x v="4"/>
    <n v="100000"/>
    <s v="AK Steels Part payment"/>
  </r>
  <r>
    <d v="2026-02-28T00:00:00"/>
    <x v="4"/>
    <n v="100000"/>
    <s v="Gravel part payment"/>
  </r>
  <r>
    <d v="2026-03-03T00:00:00"/>
    <x v="11"/>
    <n v="20000"/>
    <s v="Iyyapan Adv"/>
  </r>
  <r>
    <d v="2026-03-04T00:00:00"/>
    <x v="0"/>
    <n v="3100"/>
    <s v="Anti Termite Basement"/>
  </r>
  <r>
    <d v="2026-03-05T00:00:00"/>
    <x v="4"/>
    <n v="10500"/>
    <s v="Gravel pending amount"/>
  </r>
  <r>
    <d v="2026-03-05T00:00:00"/>
    <x v="3"/>
    <n v="14500"/>
    <s v="Bob Cat basement Refilling"/>
  </r>
  <r>
    <d v="2026-03-05T00:00:00"/>
    <x v="7"/>
    <n v="1300"/>
    <s v="Porter Wheel bar shifting"/>
  </r>
  <r>
    <d v="2026-03-05T00:00:00"/>
    <x v="0"/>
    <n v="2900"/>
    <s v="Koni Sakku"/>
  </r>
  <r>
    <d v="2026-03-07T00:00:00"/>
    <x v="5"/>
    <n v="32250"/>
    <s v="Mason Labour Madhappan"/>
  </r>
  <r>
    <d v="2026-03-07T00:00:00"/>
    <x v="11"/>
    <n v="50000"/>
    <s v="Column box adv"/>
  </r>
  <r>
    <d v="2026-03-07T00:00:00"/>
    <x v="9"/>
    <n v="23000"/>
    <s v="PCC and Column Concrete"/>
  </r>
  <r>
    <d v="2026-03-07T00:00:00"/>
    <x v="4"/>
    <n v="30000"/>
    <s v="Palani Murugan Cement Payment"/>
  </r>
  <r>
    <d v="2026-03-07T00:00:00"/>
    <x v="3"/>
    <n v="9000"/>
    <s v="Anjeneya Bob Cat"/>
  </r>
  <r>
    <d v="2026-03-08T00:00:00"/>
    <x v="5"/>
    <n v="150"/>
    <s v="Bal Cash With Madhappan"/>
  </r>
  <r>
    <d v="2026-03-09T00:00:00"/>
    <x v="6"/>
    <n v="1400"/>
    <s v="Labour tea"/>
  </r>
  <r>
    <d v="2026-03-09T00:00:00"/>
    <x v="0"/>
    <n v="100"/>
    <s v="Rassamattam purchase"/>
  </r>
  <r>
    <d v="2026-03-10T00:00:00"/>
    <x v="11"/>
    <n v="9500"/>
    <s v="Column Steel and Shuttering Work"/>
  </r>
  <r>
    <d v="2026-03-11T00:00:00"/>
    <x v="5"/>
    <n v="5000"/>
    <s v="Madhapan Mason Adv"/>
  </r>
  <r>
    <d v="2026-03-11T00:00:00"/>
    <x v="0"/>
    <n v="50"/>
    <s v="Broom Stick - Nitish"/>
  </r>
  <r>
    <d v="2026-03-11T00:00:00"/>
    <x v="17"/>
    <n v="200"/>
    <s v="Cover block 2 box Nitish"/>
  </r>
  <r>
    <d v="2026-03-11T00:00:00"/>
    <x v="0"/>
    <n v="70"/>
    <s v="Pooja exp brick work Nitish"/>
  </r>
  <r>
    <d v="2026-03-11T00:00:00"/>
    <x v="2"/>
    <n v="60"/>
    <s v="Sponge  Nitish"/>
  </r>
  <r>
    <d v="2026-03-11T00:00:00"/>
    <x v="0"/>
    <n v="490"/>
    <s v="Ladder for concrete 2 nos 2 days Nitish"/>
  </r>
  <r>
    <d v="2026-03-11T00:00:00"/>
    <x v="2"/>
    <n v="1040"/>
    <s v="Sara kairu Gloves etc Nitish"/>
  </r>
  <r>
    <d v="2026-03-11T00:00:00"/>
    <x v="4"/>
    <n v="50000"/>
    <s v="AK Steels Payment"/>
  </r>
  <r>
    <d v="2026-03-14T00:00:00"/>
    <x v="5"/>
    <n v="66700"/>
    <s v="Mason Lab Payment"/>
  </r>
  <r>
    <d v="2026-03-16T00:00:00"/>
    <x v="11"/>
    <n v="20000"/>
    <s v="Ayyapan advance"/>
  </r>
  <r>
    <d v="2026-03-18T00:00:00"/>
    <x v="6"/>
    <n v="100"/>
    <s v="Night shift tea lab"/>
  </r>
  <r>
    <d v="2026-03-21T00:00:00"/>
    <x v="5"/>
    <n v="19800"/>
    <s v="Madhappan Mason Lab"/>
  </r>
  <r>
    <d v="2026-03-21T00:00:00"/>
    <x v="9"/>
    <n v="12000"/>
    <s v="Lindel Concrete"/>
  </r>
  <r>
    <d v="2026-03-21T00:00:00"/>
    <x v="11"/>
    <n v="15000"/>
    <s v="Iyyapan lindel payment"/>
  </r>
  <r>
    <d v="2026-03-21T00:00:00"/>
    <x v="4"/>
    <n v="100000"/>
    <s v="RSK Part Payment"/>
  </r>
  <r>
    <d v="2026-03-21T00:00:00"/>
    <x v="4"/>
    <n v="144000"/>
    <s v="Vel brick"/>
  </r>
  <r>
    <d v="2026-03-21T00:00:00"/>
    <x v="4"/>
    <n v="15000"/>
    <s v="Chakra cement payment"/>
  </r>
  <r>
    <d v="2026-03-21T00:00:00"/>
    <x v="4"/>
    <n v="20350"/>
    <s v="Palani Murugan Cement Payment"/>
  </r>
  <r>
    <d v="2026-03-25T00:00:00"/>
    <x v="6"/>
    <n v="880"/>
    <s v="Lab tea Nithish"/>
  </r>
  <r>
    <d v="2026-03-25T00:00:00"/>
    <x v="15"/>
    <n v="1200"/>
    <s v="From Happy town Lab auto"/>
  </r>
  <r>
    <d v="2026-03-25T00:00:00"/>
    <x v="0"/>
    <n v="60"/>
    <s v="Broom Stick - Nitish"/>
  </r>
  <r>
    <d v="2026-03-26T00:00:00"/>
    <x v="11"/>
    <n v="5000"/>
    <s v="Iyyapann lindel bal"/>
  </r>
  <r>
    <d v="2026-03-27T00:00:00"/>
    <x v="4"/>
    <n v="100000"/>
    <s v="RSK Part Payment"/>
  </r>
  <r>
    <d v="2026-03-28T00:00:00"/>
    <x v="5"/>
    <n v="41350"/>
    <s v="Madhappan lab payment"/>
  </r>
  <r>
    <d v="2026-03-28T00:00:00"/>
    <x v="11"/>
    <n v="20000"/>
    <s v="Lab advance Iyyapan"/>
  </r>
  <r>
    <d v="2026-04-01T00:00:00"/>
    <x v="15"/>
    <n v="480"/>
    <s v="Transport to HT - Nithish"/>
  </r>
  <r>
    <d v="2026-04-01T00:00:00"/>
    <x v="6"/>
    <n v="800"/>
    <s v="Nithish"/>
  </r>
  <r>
    <d v="2026-04-01T00:00:00"/>
    <x v="0"/>
    <n v="400"/>
    <s v="Focus fuse - Selvam"/>
  </r>
  <r>
    <d v="2026-04-04T00:00:00"/>
    <x v="0"/>
    <n v="1000"/>
    <s v="Wire Purchase for Focus night work"/>
  </r>
  <r>
    <d v="2026-04-04T00:00:00"/>
    <x v="11"/>
    <n v="29000"/>
    <s v="Iyyapan bal amt +20K adv for roof"/>
  </r>
  <r>
    <d v="2026-04-04T00:00:00"/>
    <x v="4"/>
    <n v="200000"/>
    <s v="AK steels roof steel part payment"/>
  </r>
  <r>
    <d v="2026-04-09T00:00:00"/>
    <x v="0"/>
    <n v="360"/>
    <s v="Tape for Roof Nithish"/>
  </r>
  <r>
    <d v="2026-04-09T00:00:00"/>
    <x v="15"/>
    <n v="550"/>
    <s v="Dsp to Doctor site - Nithish"/>
  </r>
  <r>
    <d v="2026-04-10T00:00:00"/>
    <x v="0"/>
    <n v="950"/>
    <s v="Electrical Items for roof"/>
  </r>
  <r>
    <d v="2026-04-11T00:00:00"/>
    <x v="0"/>
    <n v="500"/>
    <s v="Breakfast Roof concrete"/>
  </r>
  <r>
    <d v="2026-04-11T00:00:00"/>
    <x v="0"/>
    <n v="200"/>
    <s v="Pooja Roof conrete"/>
  </r>
  <r>
    <d v="2026-04-11T00:00:00"/>
    <x v="5"/>
    <n v="4450"/>
    <s v="Mason Lab Payment"/>
  </r>
  <r>
    <d v="2026-04-11T00:00:00"/>
    <x v="10"/>
    <n v="6000"/>
    <s v="Selvam Roof Payment"/>
  </r>
  <r>
    <d v="2026-04-11T00:00:00"/>
    <x v="9"/>
    <n v="27000"/>
    <s v="Prakash Roof Conctrete"/>
  </r>
  <r>
    <d v="2026-04-11T00:00:00"/>
    <x v="9"/>
    <n v="600"/>
    <s v="Concrete Labours"/>
  </r>
  <r>
    <d v="2026-04-13T00:00:00"/>
    <x v="11"/>
    <n v="120000"/>
    <s v="Iyyapan roof advance payment"/>
  </r>
  <r>
    <d v="2026-04-13T00:00:00"/>
    <x v="15"/>
    <n v="350"/>
    <s v="Lab from DSP site"/>
  </r>
  <r>
    <d v="2026-04-16T00:00:00"/>
    <x v="4"/>
    <n v="30750"/>
    <s v="Chakra cement payment"/>
  </r>
  <r>
    <d v="2026-04-17T00:00:00"/>
    <x v="0"/>
    <n v="665"/>
    <s v="Pooja items news paper roof conc Nithish"/>
  </r>
  <r>
    <d v="2026-04-17T00:00:00"/>
    <x v="15"/>
    <n v="200"/>
    <s v="From SK site Nithish"/>
  </r>
  <r>
    <d v="2026-04-17T00:00:00"/>
    <x v="16"/>
    <n v="180"/>
    <s v="Column Shoe Nithish"/>
  </r>
  <r>
    <d v="2026-04-17T00:00:00"/>
    <x v="0"/>
    <n v="30"/>
    <s v="Printout"/>
  </r>
  <r>
    <d v="2026-04-17T00:00:00"/>
    <x v="6"/>
    <n v="1040"/>
    <s v="Labour Tea"/>
  </r>
  <r>
    <d v="2026-04-17T00:00:00"/>
    <x v="0"/>
    <n v="206"/>
    <s v="Drinking Water Concrete lab"/>
  </r>
  <r>
    <d v="2026-04-17T00:00:00"/>
    <x v="11"/>
    <n v="5400"/>
    <s v="Iyyapan Adv - 1000 muniappan 4400 lab payment"/>
  </r>
  <r>
    <d v="2026-04-18T00:00:00"/>
    <x v="5"/>
    <n v="12300"/>
    <s v="Madhappan lab payment"/>
  </r>
  <r>
    <d v="2026-04-18T00:00:00"/>
    <x v="5"/>
    <n v="150"/>
    <s v="Madhappan xtra"/>
  </r>
  <r>
    <d v="2026-04-18T00:00:00"/>
    <x v="10"/>
    <n v="2000"/>
    <s v="Selvam Roof Concrete work"/>
  </r>
  <r>
    <d v="2026-04-18T00:00:00"/>
    <x v="4"/>
    <n v="100000"/>
    <s v="AK Steels Payment"/>
  </r>
  <r>
    <d v="2026-04-18T00:00:00"/>
    <x v="4"/>
    <n v="100000"/>
    <s v="RSK Part Payment"/>
  </r>
  <r>
    <d v="2026-04-18T00:00:00"/>
    <x v="16"/>
    <n v="6000"/>
    <s v="Column Box adv FF"/>
  </r>
  <r>
    <d v="2026-04-18T00:00:00"/>
    <x v="18"/>
    <n v="2000"/>
    <s v="Car Diesel"/>
  </r>
  <r>
    <d v="2026-04-21T00:00:00"/>
    <x v="16"/>
    <n v="3000"/>
    <s v="Column box bal FF"/>
  </r>
  <r>
    <d v="2026-04-22T00:00:00"/>
    <x v="5"/>
    <n v="15000"/>
    <s v="Mason Advance Madhappan"/>
  </r>
  <r>
    <d v="2026-04-22T00:00:00"/>
    <x v="11"/>
    <n v="10000"/>
    <s v="Fitter Adv"/>
  </r>
  <r>
    <d v="2026-04-24T00:00:00"/>
    <x v="18"/>
    <n v="2000"/>
    <s v="Car Diesel"/>
  </r>
  <r>
    <d v="2026-04-24T00:00:00"/>
    <x v="15"/>
    <n v="480"/>
    <s v="Rapido Fitter Nithish"/>
  </r>
  <r>
    <d v="2026-04-24T00:00:00"/>
    <x v="7"/>
    <n v="760"/>
    <s v="Lift Machine Shifting"/>
  </r>
  <r>
    <d v="2026-04-24T00:00:00"/>
    <x v="6"/>
    <n v="200"/>
    <s v="Concrete tea"/>
  </r>
  <r>
    <d v="2026-04-24T00:00:00"/>
    <x v="16"/>
    <n v="320"/>
    <s v="Column Box bal Payment"/>
  </r>
  <r>
    <d v="2026-04-24T00:00:00"/>
    <x v="0"/>
    <n v="70"/>
    <s v="Printout"/>
  </r>
  <r>
    <d v="2026-04-24T00:00:00"/>
    <x v="0"/>
    <n v="100"/>
    <s v="Welding Work Wheel Bar"/>
  </r>
  <r>
    <d v="2026-04-24T00:00:00"/>
    <x v="7"/>
    <n v="380"/>
    <s v="Porter Wheel bar shifting"/>
  </r>
  <r>
    <d v="2026-04-24T00:00:00"/>
    <x v="2"/>
    <n v="60"/>
    <s v="Tube level Purchase"/>
  </r>
  <r>
    <d v="2026-04-24T00:00:00"/>
    <x v="0"/>
    <n v="100"/>
    <s v="Broom Stick - Nitish"/>
  </r>
  <r>
    <d v="2026-04-24T00:00:00"/>
    <x v="6"/>
    <n v="584"/>
    <s v="Tea"/>
  </r>
  <r>
    <d v="2026-04-25T00:00:00"/>
    <x v="5"/>
    <n v="23600"/>
    <s v="Madhappan lab payment"/>
  </r>
  <r>
    <d v="2026-04-25T00:00:00"/>
    <x v="5"/>
    <n v="350"/>
    <s v="Madhappan Extra"/>
  </r>
  <r>
    <d v="2026-04-25T00:00:00"/>
    <x v="11"/>
    <n v="3875"/>
    <s v="Fitter Lab Payment"/>
  </r>
  <r>
    <d v="2026-04-25T00:00:00"/>
    <x v="11"/>
    <n v="250"/>
    <s v="Kannan Extra"/>
  </r>
  <r>
    <d v="2026-04-25T00:00:00"/>
    <x v="11"/>
    <n v="250"/>
    <s v="Anbu Extra"/>
  </r>
  <r>
    <d v="2026-04-25T00:00:00"/>
    <x v="9"/>
    <n v="14000"/>
    <s v="Concrete Prakash"/>
  </r>
  <r>
    <d v="2026-04-25T00:00:00"/>
    <x v="4"/>
    <n v="35000"/>
    <s v="Palani Murugan Cement Payment"/>
  </r>
  <r>
    <d v="2026-04-25T00:00:00"/>
    <x v="4"/>
    <n v="23750"/>
    <s v="Chakra cement payment"/>
  </r>
  <r>
    <d v="2026-04-28T00:00:00"/>
    <x v="18"/>
    <n v="2000"/>
    <s v="Car Diesel"/>
  </r>
  <r>
    <d v="2026-05-02T00:00:00"/>
    <x v="5"/>
    <n v="40350"/>
    <s v="Madhappan lab payment"/>
  </r>
  <r>
    <d v="2026-05-02T00:00:00"/>
    <x v="4"/>
    <n v="120200"/>
    <s v="Vel brick 10000 nos"/>
  </r>
  <r>
    <d v="2026-05-02T00:00:00"/>
    <x v="4"/>
    <n v="20000"/>
    <s v="Chakra cement payment"/>
  </r>
  <r>
    <d v="2026-05-02T00:00:00"/>
    <x v="4"/>
    <n v="10000"/>
    <s v="Ramdev Part Payment"/>
  </r>
  <r>
    <d v="2026-05-04T00:00:00"/>
    <x v="12"/>
    <n v="60000"/>
    <s v="Tamil Karthi"/>
  </r>
  <r>
    <m/>
    <x v="1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E7EF1-D634-4326-8B1F-206D3919FD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G3:H8" firstHeaderRow="1" firstDataRow="1" firstDataCol="1"/>
  <pivotFields count="4">
    <pivotField showAll="0"/>
    <pivotField axis="axisRow" showAll="0">
      <items count="27">
        <item h="1" x="4"/>
        <item h="1" x="17"/>
        <item x="3"/>
        <item h="1" x="2"/>
        <item h="1" x="7"/>
        <item h="1" m="1" x="20"/>
        <item h="1" x="0"/>
        <item h="1" x="19"/>
        <item x="5"/>
        <item x="11"/>
        <item h="1" x="6"/>
        <item h="1" m="1" x="21"/>
        <item x="9"/>
        <item h="1" x="16"/>
        <item h="1" x="13"/>
        <item h="1" m="1" x="22"/>
        <item h="1" x="15"/>
        <item h="1" m="1" x="23"/>
        <item h="1" m="1" x="24"/>
        <item h="1" x="10"/>
        <item h="1" m="1" x="25"/>
        <item h="1" x="1"/>
        <item h="1" x="8"/>
        <item h="1" x="12"/>
        <item h="1" x="14"/>
        <item h="1" x="18"/>
        <item t="default"/>
      </items>
    </pivotField>
    <pivotField dataField="1" showAll="0"/>
    <pivotField showAll="0"/>
  </pivotFields>
  <rowFields count="1">
    <field x="1"/>
  </rowFields>
  <rowItems count="5">
    <i>
      <x v="2"/>
    </i>
    <i>
      <x v="8"/>
    </i>
    <i>
      <x v="9"/>
    </i>
    <i>
      <x v="12"/>
    </i>
    <i t="grand">
      <x/>
    </i>
  </rowItems>
  <colItems count="1">
    <i/>
  </colItems>
  <dataFields count="1">
    <dataField name="Total_Amount" fld="2" baseField="0" baseItem="0" numFmtId="8"/>
  </dataFields>
  <formats count="5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C62C7-A7F3-4225-A13E-8201E9F586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D3:E7" firstHeaderRow="1" firstDataRow="1" firstDataCol="1"/>
  <pivotFields count="4">
    <pivotField showAll="0"/>
    <pivotField axis="axisRow" showAll="0">
      <items count="27">
        <item x="4"/>
        <item x="17"/>
        <item h="1" x="3"/>
        <item x="2"/>
        <item h="1" x="7"/>
        <item h="1" m="1" x="20"/>
        <item h="1" x="0"/>
        <item h="1" x="19"/>
        <item h="1" x="5"/>
        <item h="1" x="11"/>
        <item h="1" x="6"/>
        <item h="1" m="1" x="21"/>
        <item h="1" x="9"/>
        <item h="1" x="16"/>
        <item h="1" x="13"/>
        <item h="1" m="1" x="22"/>
        <item h="1" x="15"/>
        <item h="1" m="1" x="23"/>
        <item h="1" m="1" x="24"/>
        <item h="1" x="10"/>
        <item h="1" m="1" x="25"/>
        <item h="1" x="1"/>
        <item h="1" x="8"/>
        <item h="1" x="12"/>
        <item h="1" x="14"/>
        <item h="1" x="18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3"/>
    </i>
    <i t="grand">
      <x/>
    </i>
  </rowItems>
  <colItems count="1">
    <i/>
  </colItems>
  <dataFields count="1">
    <dataField name="Total_Amount" fld="2" baseField="0" baseItem="0" numFmtId="8"/>
  </dataFields>
  <formats count="5"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C9A3-14B4-46FA-8D51-AAF7A0B6E9C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A3:B23" firstHeaderRow="1" firstDataRow="1" firstDataCol="1"/>
  <pivotFields count="4">
    <pivotField showAll="0"/>
    <pivotField axis="axisRow" showAll="0">
      <items count="27">
        <item x="4"/>
        <item x="17"/>
        <item x="3"/>
        <item x="2"/>
        <item x="7"/>
        <item m="1" x="20"/>
        <item x="0"/>
        <item h="1" x="19"/>
        <item x="5"/>
        <item x="11"/>
        <item x="6"/>
        <item m="1" x="21"/>
        <item x="9"/>
        <item x="16"/>
        <item x="13"/>
        <item m="1" x="22"/>
        <item x="15"/>
        <item m="1" x="23"/>
        <item m="1" x="24"/>
        <item x="10"/>
        <item m="1" x="25"/>
        <item x="1"/>
        <item x="8"/>
        <item x="12"/>
        <item x="14"/>
        <item x="18"/>
        <item t="default"/>
      </items>
    </pivotField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9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Total_Amount" fld="2" baseField="0" baseItem="0" numFmtId="8"/>
  </dataFields>
  <formats count="5"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3CF52-2B38-440E-A2E0-E3EBDEB3803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J3:K4" firstHeaderRow="1" firstDataRow="1" firstDataCol="1"/>
  <pivotFields count="4">
    <pivotField showAll="0"/>
    <pivotField axis="axisRow" showAll="0">
      <items count="27">
        <item h="1" x="4"/>
        <item h="1" x="17"/>
        <item h="1" x="3"/>
        <item h="1" x="2"/>
        <item h="1" x="7"/>
        <item h="1" m="1" x="20"/>
        <item h="1" x="0"/>
        <item h="1" x="19"/>
        <item h="1" x="5"/>
        <item h="1" x="11"/>
        <item h="1" x="6"/>
        <item h="1" m="1" x="21"/>
        <item h="1" x="9"/>
        <item h="1" x="16"/>
        <item h="1" x="13"/>
        <item h="1" m="1" x="22"/>
        <item h="1" x="15"/>
        <item m="1" x="23"/>
        <item m="1" x="24"/>
        <item h="1" x="10"/>
        <item h="1" m="1" x="25"/>
        <item h="1" x="1"/>
        <item h="1" x="8"/>
        <item h="1" x="12"/>
        <item h="1" x="14"/>
        <item h="1" x="18"/>
        <item t="default"/>
      </items>
    </pivotField>
    <pivotField dataField="1" showAll="0"/>
    <pivotField showAll="0"/>
  </pivotFields>
  <rowFields count="1">
    <field x="1"/>
  </rowFields>
  <rowItems count="1">
    <i t="grand">
      <x/>
    </i>
  </rowItems>
  <colItems count="1">
    <i/>
  </colItems>
  <dataFields count="1">
    <dataField name="Total_Amount" fld="2" baseField="0" baseItem="0" numFmtId="8"/>
  </dataFields>
  <formats count="5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6791-65A6-47F8-8DC2-D2CC6C9873DB}" name="Table1" displayName="Table1" ref="A3:D7" totalsRowShown="0">
  <autoFilter ref="A3:D7" xr:uid="{8B836791-65A6-47F8-8DC2-D2CC6C9873DB}"/>
  <tableColumns count="4">
    <tableColumn id="1" xr3:uid="{82E49AF5-3376-4D78-965C-AE65D2CD931F}" name="DATE" dataDxfId="0"/>
    <tableColumn id="2" xr3:uid="{13BFE2C8-5578-4AA2-9EC5-1CBB50CE02B8}" name="TYPE OF EXPENSE"/>
    <tableColumn id="3" xr3:uid="{E6662EA1-6DC8-4558-9531-CFD33BE6E9DE}" name="AMOUNT"/>
    <tableColumn id="4" xr3:uid="{03A877C5-E326-4DFC-89C8-2358EE89F27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"/>
  <sheetViews>
    <sheetView workbookViewId="0">
      <selection activeCell="B16" sqref="B16"/>
    </sheetView>
  </sheetViews>
  <sheetFormatPr defaultRowHeight="14.5" x14ac:dyDescent="0.35"/>
  <cols>
    <col min="1" max="1" width="8.08984375" style="5" bestFit="1" customWidth="1"/>
    <col min="2" max="2" width="12.7265625" style="8" bestFit="1" customWidth="1"/>
    <col min="3" max="3" width="12.7265625" style="8" customWidth="1"/>
    <col min="4" max="4" width="17.7265625" bestFit="1" customWidth="1"/>
    <col min="5" max="5" width="17.7265625" customWidth="1"/>
    <col min="6" max="6" width="26" bestFit="1" customWidth="1"/>
    <col min="8" max="8" width="10.26953125" bestFit="1" customWidth="1"/>
    <col min="10" max="10" width="20.7265625" bestFit="1" customWidth="1"/>
    <col min="11" max="11" width="14.26953125" bestFit="1" customWidth="1"/>
  </cols>
  <sheetData>
    <row r="1" spans="1:11" x14ac:dyDescent="0.35">
      <c r="A1" s="3" t="s">
        <v>0</v>
      </c>
      <c r="B1" s="6" t="s">
        <v>1</v>
      </c>
      <c r="C1" s="6" t="s">
        <v>19</v>
      </c>
      <c r="D1" s="2" t="s">
        <v>2</v>
      </c>
      <c r="E1" s="2" t="s">
        <v>61</v>
      </c>
      <c r="F1" s="2" t="s">
        <v>3</v>
      </c>
      <c r="J1" t="s">
        <v>17</v>
      </c>
      <c r="K1" s="8">
        <f>SUM(B2:B201)</f>
        <v>4811800</v>
      </c>
    </row>
    <row r="2" spans="1:11" x14ac:dyDescent="0.35">
      <c r="A2" s="4">
        <v>46008</v>
      </c>
      <c r="B2" s="7">
        <v>1000000</v>
      </c>
      <c r="C2" s="7" t="s">
        <v>59</v>
      </c>
      <c r="D2" s="1" t="s">
        <v>60</v>
      </c>
      <c r="E2" s="1" t="s">
        <v>62</v>
      </c>
      <c r="F2" s="1" t="s">
        <v>79</v>
      </c>
      <c r="G2" s="9"/>
      <c r="H2" s="8"/>
      <c r="K2" s="8"/>
    </row>
    <row r="3" spans="1:11" x14ac:dyDescent="0.35">
      <c r="A3" s="4">
        <v>46018</v>
      </c>
      <c r="B3" s="7">
        <v>39800</v>
      </c>
      <c r="C3" s="7" t="s">
        <v>59</v>
      </c>
      <c r="D3" s="1" t="s">
        <v>72</v>
      </c>
      <c r="E3" s="1" t="s">
        <v>62</v>
      </c>
      <c r="F3" s="1" t="s">
        <v>73</v>
      </c>
      <c r="G3" s="9"/>
      <c r="H3" s="8"/>
      <c r="K3" s="8"/>
    </row>
    <row r="4" spans="1:11" x14ac:dyDescent="0.35">
      <c r="A4" s="4">
        <v>46053</v>
      </c>
      <c r="B4" s="7">
        <v>268000</v>
      </c>
      <c r="C4" s="7" t="s">
        <v>59</v>
      </c>
      <c r="D4" s="1" t="s">
        <v>60</v>
      </c>
      <c r="E4" s="1" t="s">
        <v>62</v>
      </c>
      <c r="F4" s="1" t="s">
        <v>141</v>
      </c>
      <c r="G4" s="9"/>
      <c r="H4" s="8"/>
      <c r="K4" s="8"/>
    </row>
    <row r="5" spans="1:11" x14ac:dyDescent="0.35">
      <c r="A5" s="4">
        <v>46053</v>
      </c>
      <c r="B5" s="7">
        <v>4000</v>
      </c>
      <c r="C5" s="7" t="s">
        <v>59</v>
      </c>
      <c r="D5" s="1" t="s">
        <v>60</v>
      </c>
      <c r="E5" s="1" t="s">
        <v>62</v>
      </c>
      <c r="F5" s="1" t="s">
        <v>142</v>
      </c>
      <c r="G5" s="9"/>
      <c r="H5" s="8"/>
    </row>
    <row r="6" spans="1:11" x14ac:dyDescent="0.35">
      <c r="A6" s="4">
        <v>46060</v>
      </c>
      <c r="B6" s="7">
        <v>500000</v>
      </c>
      <c r="C6" s="7" t="s">
        <v>59</v>
      </c>
      <c r="D6" s="1" t="s">
        <v>60</v>
      </c>
      <c r="E6" s="1" t="s">
        <v>62</v>
      </c>
      <c r="F6" s="1" t="s">
        <v>162</v>
      </c>
      <c r="G6" s="9"/>
      <c r="H6" s="8"/>
      <c r="J6" t="s">
        <v>43</v>
      </c>
      <c r="K6" s="8">
        <v>14000000</v>
      </c>
    </row>
    <row r="7" spans="1:11" x14ac:dyDescent="0.35">
      <c r="A7" s="4">
        <v>46074</v>
      </c>
      <c r="B7" s="7">
        <v>500000</v>
      </c>
      <c r="C7" s="7" t="s">
        <v>59</v>
      </c>
      <c r="D7" s="1" t="s">
        <v>60</v>
      </c>
      <c r="E7" s="1" t="s">
        <v>62</v>
      </c>
      <c r="F7" s="1" t="s">
        <v>178</v>
      </c>
      <c r="G7" s="9"/>
      <c r="H7" s="8"/>
      <c r="J7" t="s">
        <v>63</v>
      </c>
      <c r="K7" s="8"/>
    </row>
    <row r="8" spans="1:11" x14ac:dyDescent="0.35">
      <c r="A8" s="4">
        <v>46088</v>
      </c>
      <c r="B8" s="7">
        <v>500000</v>
      </c>
      <c r="C8" s="7" t="s">
        <v>59</v>
      </c>
      <c r="D8" s="1" t="s">
        <v>60</v>
      </c>
      <c r="E8" s="1" t="s">
        <v>62</v>
      </c>
      <c r="F8" s="1" t="s">
        <v>195</v>
      </c>
      <c r="G8" s="9"/>
      <c r="H8" s="8"/>
      <c r="J8" t="s">
        <v>44</v>
      </c>
      <c r="K8" s="8">
        <f>K1</f>
        <v>4811800</v>
      </c>
    </row>
    <row r="9" spans="1:11" x14ac:dyDescent="0.35">
      <c r="A9" s="4">
        <v>46102</v>
      </c>
      <c r="B9" s="7">
        <v>1000000</v>
      </c>
      <c r="C9" s="7" t="s">
        <v>59</v>
      </c>
      <c r="D9" s="1" t="s">
        <v>60</v>
      </c>
      <c r="E9" s="1" t="s">
        <v>62</v>
      </c>
      <c r="F9" s="1" t="s">
        <v>209</v>
      </c>
      <c r="G9" s="9"/>
      <c r="H9" s="8"/>
      <c r="J9" t="s">
        <v>14</v>
      </c>
      <c r="K9" s="8">
        <f>K6-K8</f>
        <v>9188200</v>
      </c>
    </row>
    <row r="10" spans="1:11" x14ac:dyDescent="0.35">
      <c r="A10" s="4">
        <v>46125</v>
      </c>
      <c r="B10" s="7">
        <v>1000000</v>
      </c>
      <c r="C10" s="7" t="s">
        <v>59</v>
      </c>
      <c r="D10" s="1" t="s">
        <v>60</v>
      </c>
      <c r="E10" s="1" t="s">
        <v>62</v>
      </c>
      <c r="F10" s="1" t="s">
        <v>232</v>
      </c>
      <c r="G10" s="9"/>
      <c r="H10" s="8"/>
    </row>
    <row r="11" spans="1:11" x14ac:dyDescent="0.35">
      <c r="A11" s="4"/>
      <c r="B11" s="7"/>
      <c r="C11" s="7"/>
      <c r="D11" s="1"/>
      <c r="E11" s="1"/>
      <c r="F11" s="1"/>
      <c r="G11" s="9"/>
      <c r="H11" s="8"/>
    </row>
    <row r="12" spans="1:11" x14ac:dyDescent="0.35">
      <c r="A12" s="4"/>
      <c r="B12" s="7"/>
      <c r="C12" s="7"/>
      <c r="D12" s="1"/>
      <c r="E12" s="1"/>
      <c r="F12" s="1"/>
      <c r="G12" s="9"/>
      <c r="H12" s="8"/>
    </row>
    <row r="13" spans="1:11" x14ac:dyDescent="0.35">
      <c r="A13" s="4"/>
      <c r="B13" s="7"/>
      <c r="C13" s="7"/>
      <c r="D13" s="1"/>
      <c r="E13" s="1"/>
      <c r="F13" s="1"/>
      <c r="G13" s="9"/>
      <c r="H13" s="8"/>
    </row>
    <row r="14" spans="1:11" x14ac:dyDescent="0.35">
      <c r="A14" s="4"/>
      <c r="B14" s="7"/>
      <c r="C14" s="7"/>
      <c r="D14" s="1"/>
      <c r="E14" s="1"/>
      <c r="F14" s="1"/>
      <c r="G14" s="9"/>
      <c r="H14" s="8"/>
    </row>
    <row r="15" spans="1:11" x14ac:dyDescent="0.35">
      <c r="A15" s="4"/>
      <c r="B15" s="7"/>
      <c r="C15" s="7"/>
      <c r="D15" s="1"/>
      <c r="E15" s="1"/>
      <c r="F15" s="1"/>
      <c r="G15" s="9"/>
      <c r="H15" s="8"/>
    </row>
    <row r="16" spans="1:11" x14ac:dyDescent="0.35">
      <c r="A16" s="4"/>
      <c r="B16" s="7"/>
      <c r="C16" s="7"/>
      <c r="D16" s="1"/>
      <c r="E16" s="1"/>
      <c r="F16" s="1"/>
      <c r="G16" s="9"/>
      <c r="H16" s="8"/>
      <c r="J16" s="8"/>
    </row>
    <row r="17" spans="1:8" x14ac:dyDescent="0.35">
      <c r="A17" s="4"/>
      <c r="B17" s="7"/>
      <c r="C17" s="7"/>
      <c r="D17" s="1"/>
      <c r="E17" s="1"/>
      <c r="F17" s="1"/>
      <c r="G17" s="9"/>
      <c r="H17" s="8"/>
    </row>
    <row r="18" spans="1:8" x14ac:dyDescent="0.35">
      <c r="A18" s="4"/>
      <c r="B18" s="7"/>
      <c r="C18" s="7"/>
      <c r="D18" s="1"/>
      <c r="E18" s="1"/>
      <c r="F18" s="1"/>
      <c r="G18" s="9"/>
      <c r="H18" s="8"/>
    </row>
    <row r="19" spans="1:8" x14ac:dyDescent="0.35">
      <c r="A19" s="4"/>
      <c r="B19" s="7"/>
      <c r="C19" s="7"/>
      <c r="D19" s="1"/>
      <c r="E19" s="1"/>
      <c r="F19" s="1"/>
      <c r="G19" s="9"/>
      <c r="H19" s="8"/>
    </row>
    <row r="20" spans="1:8" x14ac:dyDescent="0.35">
      <c r="A20" s="4"/>
      <c r="B20" s="7"/>
      <c r="C20" s="7"/>
      <c r="D20" s="1"/>
      <c r="E20" s="1"/>
      <c r="F20" s="1"/>
      <c r="G20" s="9"/>
      <c r="H20" s="8"/>
    </row>
    <row r="21" spans="1:8" x14ac:dyDescent="0.35">
      <c r="A21" s="4"/>
      <c r="B21" s="7"/>
      <c r="C21" s="7"/>
      <c r="D21" s="1"/>
      <c r="E21" s="1"/>
      <c r="F21" s="1"/>
      <c r="G21" s="9"/>
      <c r="H21" s="8"/>
    </row>
    <row r="22" spans="1:8" x14ac:dyDescent="0.35">
      <c r="A22" s="4"/>
      <c r="B22" s="7"/>
      <c r="C22" s="7"/>
      <c r="D22" s="1"/>
      <c r="E22" s="1"/>
      <c r="F22" s="1"/>
      <c r="G22" s="9"/>
      <c r="H22" s="8"/>
    </row>
    <row r="171" spans="1:4" x14ac:dyDescent="0.35">
      <c r="A171" s="4"/>
      <c r="B171" s="7"/>
      <c r="C171" s="7"/>
      <c r="D171" s="1"/>
    </row>
    <row r="172" spans="1:4" x14ac:dyDescent="0.35">
      <c r="A172" s="4"/>
      <c r="B172" s="7"/>
      <c r="C172" s="7"/>
      <c r="D172" s="1"/>
    </row>
    <row r="173" spans="1:4" x14ac:dyDescent="0.35">
      <c r="A173" s="4"/>
      <c r="B173" s="7"/>
      <c r="C173" s="7"/>
      <c r="D173" s="1"/>
    </row>
    <row r="174" spans="1:4" x14ac:dyDescent="0.35">
      <c r="A174" s="4"/>
      <c r="B174" s="7"/>
      <c r="C174" s="7"/>
      <c r="D174" s="1"/>
    </row>
    <row r="175" spans="1:4" x14ac:dyDescent="0.35">
      <c r="A175" s="4"/>
      <c r="B175" s="7"/>
      <c r="C175" s="7"/>
      <c r="D175" s="1"/>
    </row>
    <row r="176" spans="1:4" x14ac:dyDescent="0.35">
      <c r="A176" s="4"/>
      <c r="B176" s="7"/>
      <c r="C176" s="7"/>
      <c r="D176" s="1"/>
    </row>
    <row r="177" spans="1:4" x14ac:dyDescent="0.35">
      <c r="A177" s="4"/>
      <c r="B177" s="7"/>
      <c r="C177" s="7"/>
      <c r="D177" s="1"/>
    </row>
    <row r="178" spans="1:4" x14ac:dyDescent="0.35">
      <c r="A178" s="4"/>
      <c r="B178" s="7"/>
      <c r="C178" s="7">
        <v>27775</v>
      </c>
      <c r="D178" s="1"/>
    </row>
    <row r="179" spans="1:4" x14ac:dyDescent="0.35">
      <c r="A179" s="4"/>
      <c r="B179" s="7"/>
      <c r="C179" s="7"/>
      <c r="D179" s="1"/>
    </row>
    <row r="180" spans="1:4" x14ac:dyDescent="0.35">
      <c r="A180" s="4"/>
      <c r="B180" s="7"/>
      <c r="C180" s="7"/>
      <c r="D180" s="1"/>
    </row>
    <row r="181" spans="1:4" x14ac:dyDescent="0.35">
      <c r="A181" s="4"/>
      <c r="B181" s="7"/>
      <c r="C181" s="7"/>
      <c r="D181" s="1"/>
    </row>
    <row r="182" spans="1:4" x14ac:dyDescent="0.35">
      <c r="A182" s="4"/>
      <c r="B182" s="7"/>
      <c r="C182" s="7"/>
      <c r="D182" s="1"/>
    </row>
    <row r="183" spans="1:4" x14ac:dyDescent="0.35">
      <c r="A183" s="4"/>
      <c r="B183" s="7"/>
      <c r="C183" s="7"/>
      <c r="D183" s="1"/>
    </row>
    <row r="184" spans="1:4" x14ac:dyDescent="0.35">
      <c r="A184" s="4">
        <v>45964</v>
      </c>
      <c r="B184" s="7" t="s">
        <v>22</v>
      </c>
      <c r="C184" s="7">
        <v>500</v>
      </c>
      <c r="D18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5E-A74E-4151-8738-1C2F14C945B6}">
  <dimension ref="A1:L307"/>
  <sheetViews>
    <sheetView tabSelected="1" topLeftCell="A225" workbookViewId="0">
      <selection activeCell="A239" sqref="A239:D244"/>
    </sheetView>
  </sheetViews>
  <sheetFormatPr defaultRowHeight="14.5" x14ac:dyDescent="0.35"/>
  <cols>
    <col min="1" max="1" width="10.08984375" style="5" bestFit="1" customWidth="1"/>
    <col min="2" max="2" width="20.54296875" bestFit="1" customWidth="1"/>
    <col min="3" max="3" width="12.7265625" style="8" bestFit="1" customWidth="1"/>
    <col min="4" max="4" width="59.90625" bestFit="1" customWidth="1"/>
    <col min="5" max="5" width="19.453125" bestFit="1" customWidth="1"/>
    <col min="6" max="6" width="17.81640625" hidden="1" customWidth="1"/>
    <col min="7" max="7" width="15" hidden="1" customWidth="1"/>
    <col min="8" max="8" width="13.6328125" customWidth="1"/>
    <col min="9" max="9" width="13.26953125" bestFit="1" customWidth="1"/>
    <col min="10" max="10" width="12.7265625" bestFit="1" customWidth="1"/>
    <col min="11" max="11" width="15" bestFit="1" customWidth="1"/>
    <col min="12" max="12" width="11.7265625" bestFit="1" customWidth="1"/>
  </cols>
  <sheetData>
    <row r="1" spans="1:12" x14ac:dyDescent="0.35">
      <c r="A1" s="3" t="s">
        <v>0</v>
      </c>
      <c r="B1" s="2" t="s">
        <v>4</v>
      </c>
      <c r="C1" s="6" t="s">
        <v>1</v>
      </c>
      <c r="D1" s="2" t="s">
        <v>3</v>
      </c>
      <c r="I1" s="11" t="s">
        <v>6</v>
      </c>
      <c r="J1" s="7">
        <f>'Payment Received'!K1</f>
        <v>4811800</v>
      </c>
    </row>
    <row r="2" spans="1:12" x14ac:dyDescent="0.35">
      <c r="A2" s="4">
        <v>45991</v>
      </c>
      <c r="B2" s="1" t="s">
        <v>5</v>
      </c>
      <c r="C2" s="7">
        <v>180</v>
      </c>
      <c r="D2" s="1" t="s">
        <v>49</v>
      </c>
      <c r="I2" s="17" t="s">
        <v>7</v>
      </c>
      <c r="J2" s="7">
        <f>SUM(C2:C510)</f>
        <v>4563908</v>
      </c>
    </row>
    <row r="3" spans="1:12" x14ac:dyDescent="0.35">
      <c r="A3" s="4">
        <v>45991</v>
      </c>
      <c r="B3" s="1" t="s">
        <v>5</v>
      </c>
      <c r="C3" s="7">
        <v>1800</v>
      </c>
      <c r="D3" s="1" t="s">
        <v>50</v>
      </c>
      <c r="I3" s="12" t="s">
        <v>14</v>
      </c>
      <c r="J3" s="7">
        <f>J1-J2</f>
        <v>247892</v>
      </c>
    </row>
    <row r="4" spans="1:12" x14ac:dyDescent="0.35">
      <c r="A4" s="4">
        <v>45970</v>
      </c>
      <c r="B4" s="1" t="s">
        <v>5</v>
      </c>
      <c r="C4" s="7">
        <v>13000</v>
      </c>
      <c r="D4" s="1" t="s">
        <v>51</v>
      </c>
      <c r="K4" s="18"/>
      <c r="L4" s="8"/>
    </row>
    <row r="5" spans="1:12" x14ac:dyDescent="0.35">
      <c r="A5" s="4">
        <v>45970</v>
      </c>
      <c r="B5" s="1" t="s">
        <v>5</v>
      </c>
      <c r="C5" s="7">
        <v>250</v>
      </c>
      <c r="D5" s="1" t="s">
        <v>52</v>
      </c>
    </row>
    <row r="6" spans="1:12" x14ac:dyDescent="0.35">
      <c r="A6" s="4">
        <v>45970</v>
      </c>
      <c r="B6" s="1" t="s">
        <v>5</v>
      </c>
      <c r="C6" s="7">
        <v>140</v>
      </c>
      <c r="D6" s="1" t="s">
        <v>53</v>
      </c>
    </row>
    <row r="7" spans="1:12" x14ac:dyDescent="0.35">
      <c r="A7" s="4">
        <v>45970</v>
      </c>
      <c r="B7" s="1" t="s">
        <v>5</v>
      </c>
      <c r="C7" s="7">
        <v>300</v>
      </c>
      <c r="D7" s="1" t="s">
        <v>54</v>
      </c>
    </row>
    <row r="8" spans="1:12" x14ac:dyDescent="0.35">
      <c r="A8" s="4">
        <v>45970</v>
      </c>
      <c r="B8" s="1" t="s">
        <v>5</v>
      </c>
      <c r="C8" s="7">
        <v>2500</v>
      </c>
      <c r="D8" s="1" t="s">
        <v>55</v>
      </c>
      <c r="H8" s="8"/>
    </row>
    <row r="9" spans="1:12" x14ac:dyDescent="0.35">
      <c r="A9" s="4">
        <v>46001</v>
      </c>
      <c r="B9" s="1" t="s">
        <v>5</v>
      </c>
      <c r="C9" s="7">
        <v>150</v>
      </c>
      <c r="D9" s="1" t="s">
        <v>56</v>
      </c>
    </row>
    <row r="10" spans="1:12" x14ac:dyDescent="0.35">
      <c r="A10" s="4">
        <v>46002</v>
      </c>
      <c r="B10" s="7" t="s">
        <v>5</v>
      </c>
      <c r="C10" s="7">
        <v>300</v>
      </c>
      <c r="D10" s="1" t="s">
        <v>57</v>
      </c>
    </row>
    <row r="11" spans="1:12" x14ac:dyDescent="0.35">
      <c r="A11" s="4">
        <v>46003</v>
      </c>
      <c r="B11" s="1" t="s">
        <v>5</v>
      </c>
      <c r="C11" s="7">
        <v>180</v>
      </c>
      <c r="D11" s="1" t="s">
        <v>58</v>
      </c>
    </row>
    <row r="12" spans="1:12" x14ac:dyDescent="0.35">
      <c r="A12" s="4">
        <v>46004</v>
      </c>
      <c r="B12" s="1" t="s">
        <v>5</v>
      </c>
      <c r="C12" s="7">
        <v>200</v>
      </c>
      <c r="D12" s="1" t="s">
        <v>54</v>
      </c>
    </row>
    <row r="13" spans="1:12" x14ac:dyDescent="0.35">
      <c r="A13" s="4">
        <v>46007</v>
      </c>
      <c r="B13" s="1" t="s">
        <v>5</v>
      </c>
      <c r="C13" s="7">
        <v>17000</v>
      </c>
      <c r="D13" s="1" t="s">
        <v>64</v>
      </c>
    </row>
    <row r="14" spans="1:12" x14ac:dyDescent="0.35">
      <c r="A14" s="4">
        <v>46008</v>
      </c>
      <c r="B14" s="1" t="s">
        <v>5</v>
      </c>
      <c r="C14" s="7">
        <v>6500</v>
      </c>
      <c r="D14" s="1" t="s">
        <v>65</v>
      </c>
    </row>
    <row r="15" spans="1:12" x14ac:dyDescent="0.35">
      <c r="A15" s="4">
        <v>46010</v>
      </c>
      <c r="B15" s="1" t="s">
        <v>66</v>
      </c>
      <c r="C15" s="7">
        <v>4000</v>
      </c>
      <c r="D15" s="1" t="s">
        <v>67</v>
      </c>
    </row>
    <row r="16" spans="1:12" x14ac:dyDescent="0.35">
      <c r="A16" s="4">
        <v>46016</v>
      </c>
      <c r="B16" s="1" t="s">
        <v>20</v>
      </c>
      <c r="C16" s="7">
        <v>3220</v>
      </c>
      <c r="D16" s="1" t="s">
        <v>68</v>
      </c>
    </row>
    <row r="17" spans="1:4" x14ac:dyDescent="0.35">
      <c r="A17" s="4">
        <v>46016</v>
      </c>
      <c r="B17" s="1" t="s">
        <v>5</v>
      </c>
      <c r="C17" s="7">
        <v>350</v>
      </c>
      <c r="D17" s="1" t="s">
        <v>69</v>
      </c>
    </row>
    <row r="18" spans="1:4" x14ac:dyDescent="0.35">
      <c r="A18" s="4">
        <v>46016</v>
      </c>
      <c r="B18" s="1" t="s">
        <v>5</v>
      </c>
      <c r="C18" s="7">
        <v>375</v>
      </c>
      <c r="D18" s="1" t="s">
        <v>70</v>
      </c>
    </row>
    <row r="19" spans="1:4" x14ac:dyDescent="0.35">
      <c r="A19" s="4">
        <v>46017</v>
      </c>
      <c r="B19" s="1" t="s">
        <v>20</v>
      </c>
      <c r="C19" s="7">
        <v>150</v>
      </c>
      <c r="D19" s="1" t="s">
        <v>71</v>
      </c>
    </row>
    <row r="20" spans="1:4" x14ac:dyDescent="0.35">
      <c r="A20" s="4">
        <v>46017</v>
      </c>
      <c r="B20" s="1" t="s">
        <v>10</v>
      </c>
      <c r="C20" s="7">
        <v>10000</v>
      </c>
      <c r="D20" s="1" t="s">
        <v>74</v>
      </c>
    </row>
    <row r="21" spans="1:4" x14ac:dyDescent="0.35">
      <c r="A21" s="4">
        <v>46018</v>
      </c>
      <c r="B21" s="1" t="s">
        <v>10</v>
      </c>
      <c r="C21" s="7">
        <v>15000</v>
      </c>
      <c r="D21" s="1" t="s">
        <v>74</v>
      </c>
    </row>
    <row r="22" spans="1:4" x14ac:dyDescent="0.35">
      <c r="A22" s="4">
        <v>46018</v>
      </c>
      <c r="B22" s="1" t="s">
        <v>20</v>
      </c>
      <c r="C22" s="7">
        <v>12500</v>
      </c>
      <c r="D22" s="1" t="s">
        <v>75</v>
      </c>
    </row>
    <row r="23" spans="1:4" x14ac:dyDescent="0.35">
      <c r="A23" s="4">
        <v>46018</v>
      </c>
      <c r="B23" s="1" t="s">
        <v>23</v>
      </c>
      <c r="C23" s="7">
        <v>100000</v>
      </c>
      <c r="D23" s="1" t="s">
        <v>76</v>
      </c>
    </row>
    <row r="24" spans="1:4" x14ac:dyDescent="0.35">
      <c r="A24" s="4">
        <v>46018</v>
      </c>
      <c r="B24" s="1" t="s">
        <v>26</v>
      </c>
      <c r="C24" s="7">
        <v>3800</v>
      </c>
      <c r="D24" s="1" t="s">
        <v>77</v>
      </c>
    </row>
    <row r="25" spans="1:4" x14ac:dyDescent="0.35">
      <c r="A25" s="4">
        <v>46018</v>
      </c>
      <c r="B25" s="1" t="s">
        <v>28</v>
      </c>
      <c r="C25" s="7">
        <v>155</v>
      </c>
      <c r="D25" s="1" t="s">
        <v>78</v>
      </c>
    </row>
    <row r="26" spans="1:4" x14ac:dyDescent="0.35">
      <c r="A26" s="4">
        <v>46020</v>
      </c>
      <c r="B26" s="1" t="s">
        <v>20</v>
      </c>
      <c r="C26" s="7">
        <v>1400</v>
      </c>
      <c r="D26" s="1" t="s">
        <v>80</v>
      </c>
    </row>
    <row r="27" spans="1:4" x14ac:dyDescent="0.35">
      <c r="A27" s="4">
        <v>46020</v>
      </c>
      <c r="B27" s="1" t="s">
        <v>24</v>
      </c>
      <c r="C27" s="7">
        <v>630</v>
      </c>
      <c r="D27" s="1" t="s">
        <v>81</v>
      </c>
    </row>
    <row r="28" spans="1:4" x14ac:dyDescent="0.35">
      <c r="A28" s="4">
        <v>46021</v>
      </c>
      <c r="B28" s="1" t="s">
        <v>5</v>
      </c>
      <c r="C28" s="7">
        <v>1550</v>
      </c>
      <c r="D28" s="1" t="s">
        <v>82</v>
      </c>
    </row>
    <row r="29" spans="1:4" x14ac:dyDescent="0.35">
      <c r="A29" s="4">
        <v>46021</v>
      </c>
      <c r="B29" s="1" t="s">
        <v>10</v>
      </c>
      <c r="C29" s="7">
        <v>50000</v>
      </c>
      <c r="D29" s="1" t="s">
        <v>74</v>
      </c>
    </row>
    <row r="30" spans="1:4" x14ac:dyDescent="0.35">
      <c r="A30" s="4">
        <v>46022</v>
      </c>
      <c r="B30" s="1" t="s">
        <v>5</v>
      </c>
      <c r="C30" s="7">
        <v>2500</v>
      </c>
      <c r="D30" s="1" t="s">
        <v>83</v>
      </c>
    </row>
    <row r="31" spans="1:4" x14ac:dyDescent="0.35">
      <c r="A31" s="4">
        <v>46022</v>
      </c>
      <c r="B31" s="1" t="s">
        <v>23</v>
      </c>
      <c r="C31" s="7">
        <v>145000</v>
      </c>
      <c r="D31" s="1" t="s">
        <v>84</v>
      </c>
    </row>
    <row r="32" spans="1:4" x14ac:dyDescent="0.35">
      <c r="A32" s="4">
        <v>46022</v>
      </c>
      <c r="B32" s="1" t="s">
        <v>23</v>
      </c>
      <c r="C32" s="7">
        <v>140000</v>
      </c>
      <c r="D32" s="1" t="s">
        <v>85</v>
      </c>
    </row>
    <row r="33" spans="1:4" x14ac:dyDescent="0.35">
      <c r="A33" s="4">
        <v>46022</v>
      </c>
      <c r="B33" s="1" t="s">
        <v>86</v>
      </c>
      <c r="C33" s="7">
        <v>10000</v>
      </c>
      <c r="D33" s="1" t="s">
        <v>87</v>
      </c>
    </row>
    <row r="34" spans="1:4" x14ac:dyDescent="0.35">
      <c r="A34" s="4">
        <v>46024</v>
      </c>
      <c r="B34" s="1" t="s">
        <v>5</v>
      </c>
      <c r="C34" s="7">
        <v>4000</v>
      </c>
      <c r="D34" s="1" t="s">
        <v>88</v>
      </c>
    </row>
    <row r="35" spans="1:4" x14ac:dyDescent="0.35">
      <c r="A35" s="4">
        <v>46025</v>
      </c>
      <c r="B35" s="1" t="s">
        <v>26</v>
      </c>
      <c r="C35" s="7">
        <v>26000</v>
      </c>
      <c r="D35" s="1" t="s">
        <v>89</v>
      </c>
    </row>
    <row r="36" spans="1:4" x14ac:dyDescent="0.35">
      <c r="A36" s="4">
        <v>46025</v>
      </c>
      <c r="B36" s="1" t="s">
        <v>10</v>
      </c>
      <c r="C36" s="7">
        <v>30000</v>
      </c>
      <c r="D36" s="1" t="s">
        <v>90</v>
      </c>
    </row>
    <row r="37" spans="1:4" x14ac:dyDescent="0.35">
      <c r="A37" s="4">
        <v>46025</v>
      </c>
      <c r="B37" s="1" t="s">
        <v>31</v>
      </c>
      <c r="C37" s="7">
        <v>15000</v>
      </c>
      <c r="D37" s="1" t="s">
        <v>91</v>
      </c>
    </row>
    <row r="38" spans="1:4" x14ac:dyDescent="0.35">
      <c r="A38" s="4">
        <v>46025</v>
      </c>
      <c r="B38" s="1" t="s">
        <v>33</v>
      </c>
      <c r="C38" s="7">
        <v>2000</v>
      </c>
      <c r="D38" s="1" t="s">
        <v>92</v>
      </c>
    </row>
    <row r="39" spans="1:4" x14ac:dyDescent="0.35">
      <c r="A39" s="4">
        <v>46025</v>
      </c>
      <c r="B39" s="1" t="s">
        <v>27</v>
      </c>
      <c r="C39" s="7">
        <v>10000</v>
      </c>
      <c r="D39" s="1" t="s">
        <v>93</v>
      </c>
    </row>
    <row r="40" spans="1:4" x14ac:dyDescent="0.35">
      <c r="A40" s="4">
        <v>46025</v>
      </c>
      <c r="B40" s="1" t="s">
        <v>5</v>
      </c>
      <c r="C40" s="7">
        <v>5750</v>
      </c>
      <c r="D40" s="1" t="s">
        <v>95</v>
      </c>
    </row>
    <row r="41" spans="1:4" x14ac:dyDescent="0.35">
      <c r="A41" s="4">
        <v>46025</v>
      </c>
      <c r="B41" s="1" t="s">
        <v>26</v>
      </c>
      <c r="C41" s="7">
        <v>3500</v>
      </c>
      <c r="D41" s="1" t="s">
        <v>96</v>
      </c>
    </row>
    <row r="42" spans="1:4" x14ac:dyDescent="0.35">
      <c r="A42" s="4">
        <v>46025</v>
      </c>
      <c r="B42" s="1" t="s">
        <v>20</v>
      </c>
      <c r="C42" s="7">
        <v>560</v>
      </c>
      <c r="D42" s="1" t="s">
        <v>97</v>
      </c>
    </row>
    <row r="43" spans="1:4" x14ac:dyDescent="0.35">
      <c r="A43" s="4">
        <v>46026</v>
      </c>
      <c r="B43" s="1" t="s">
        <v>66</v>
      </c>
      <c r="C43" s="7">
        <v>4000</v>
      </c>
      <c r="D43" s="1" t="s">
        <v>94</v>
      </c>
    </row>
    <row r="44" spans="1:4" x14ac:dyDescent="0.35">
      <c r="A44" s="4">
        <v>46027</v>
      </c>
      <c r="B44" s="1" t="s">
        <v>98</v>
      </c>
      <c r="C44" s="7">
        <v>100000</v>
      </c>
      <c r="D44" s="1" t="s">
        <v>78</v>
      </c>
    </row>
    <row r="45" spans="1:4" x14ac:dyDescent="0.35">
      <c r="A45" s="4">
        <v>46028</v>
      </c>
      <c r="B45" s="1" t="s">
        <v>5</v>
      </c>
      <c r="C45" s="7">
        <v>1080</v>
      </c>
      <c r="D45" s="1" t="s">
        <v>99</v>
      </c>
    </row>
    <row r="46" spans="1:4" x14ac:dyDescent="0.35">
      <c r="A46" s="4">
        <v>46029</v>
      </c>
      <c r="B46" s="1" t="s">
        <v>5</v>
      </c>
      <c r="C46" s="7">
        <v>250</v>
      </c>
      <c r="D46" s="1" t="s">
        <v>100</v>
      </c>
    </row>
    <row r="47" spans="1:4" x14ac:dyDescent="0.35">
      <c r="A47" s="4">
        <v>46029</v>
      </c>
      <c r="B47" s="1" t="s">
        <v>26</v>
      </c>
      <c r="C47" s="7">
        <v>2000</v>
      </c>
      <c r="D47" s="1" t="s">
        <v>101</v>
      </c>
    </row>
    <row r="48" spans="1:4" x14ac:dyDescent="0.35">
      <c r="A48" s="4">
        <v>46029</v>
      </c>
      <c r="B48" s="1" t="s">
        <v>26</v>
      </c>
      <c r="C48" s="7">
        <v>1500</v>
      </c>
      <c r="D48" s="1" t="s">
        <v>102</v>
      </c>
    </row>
    <row r="49" spans="1:4" x14ac:dyDescent="0.35">
      <c r="A49" s="4">
        <v>46029</v>
      </c>
      <c r="B49" s="1" t="s">
        <v>24</v>
      </c>
      <c r="C49" s="7">
        <v>530</v>
      </c>
      <c r="D49" s="1" t="s">
        <v>103</v>
      </c>
    </row>
    <row r="50" spans="1:4" x14ac:dyDescent="0.35">
      <c r="A50" s="4">
        <v>46030</v>
      </c>
      <c r="B50" s="1" t="s">
        <v>5</v>
      </c>
      <c r="C50" s="7">
        <v>400</v>
      </c>
      <c r="D50" s="1" t="s">
        <v>104</v>
      </c>
    </row>
    <row r="51" spans="1:4" x14ac:dyDescent="0.35">
      <c r="A51" s="4">
        <v>46031</v>
      </c>
      <c r="B51" s="1" t="s">
        <v>28</v>
      </c>
      <c r="C51" s="7">
        <v>380</v>
      </c>
      <c r="D51" s="1" t="s">
        <v>105</v>
      </c>
    </row>
    <row r="52" spans="1:4" x14ac:dyDescent="0.35">
      <c r="A52" s="4">
        <v>46031</v>
      </c>
      <c r="B52" s="1" t="s">
        <v>5</v>
      </c>
      <c r="C52" s="7">
        <v>100</v>
      </c>
      <c r="D52" s="1" t="s">
        <v>106</v>
      </c>
    </row>
    <row r="53" spans="1:4" x14ac:dyDescent="0.35">
      <c r="A53" s="4">
        <v>46031</v>
      </c>
      <c r="B53" s="1" t="s">
        <v>5</v>
      </c>
      <c r="C53" s="7">
        <v>10000</v>
      </c>
      <c r="D53" s="1" t="s">
        <v>107</v>
      </c>
    </row>
    <row r="54" spans="1:4" x14ac:dyDescent="0.35">
      <c r="A54" s="4">
        <v>46031</v>
      </c>
      <c r="B54" s="1" t="s">
        <v>28</v>
      </c>
      <c r="C54" s="7">
        <v>670</v>
      </c>
      <c r="D54" s="1" t="s">
        <v>108</v>
      </c>
    </row>
    <row r="55" spans="1:4" x14ac:dyDescent="0.35">
      <c r="A55" s="4">
        <v>46031</v>
      </c>
      <c r="B55" s="1" t="s">
        <v>31</v>
      </c>
      <c r="C55" s="7">
        <v>1700</v>
      </c>
      <c r="D55" s="1" t="s">
        <v>109</v>
      </c>
    </row>
    <row r="56" spans="1:4" x14ac:dyDescent="0.35">
      <c r="A56" s="4">
        <v>46031</v>
      </c>
      <c r="B56" s="1" t="s">
        <v>28</v>
      </c>
      <c r="C56" s="7">
        <v>100</v>
      </c>
      <c r="D56" s="1" t="s">
        <v>78</v>
      </c>
    </row>
    <row r="57" spans="1:4" x14ac:dyDescent="0.35">
      <c r="A57" s="4">
        <v>46032</v>
      </c>
      <c r="B57" s="1" t="s">
        <v>5</v>
      </c>
      <c r="C57" s="7">
        <v>50</v>
      </c>
      <c r="D57" s="1" t="s">
        <v>110</v>
      </c>
    </row>
    <row r="58" spans="1:4" x14ac:dyDescent="0.35">
      <c r="A58" s="4">
        <v>46032</v>
      </c>
      <c r="B58" s="1" t="s">
        <v>26</v>
      </c>
      <c r="C58" s="7">
        <v>24050</v>
      </c>
      <c r="D58" s="1" t="s">
        <v>111</v>
      </c>
    </row>
    <row r="59" spans="1:4" x14ac:dyDescent="0.35">
      <c r="A59" s="4">
        <v>46032</v>
      </c>
      <c r="B59" s="1" t="s">
        <v>10</v>
      </c>
      <c r="C59" s="7">
        <v>10000</v>
      </c>
      <c r="D59" s="1" t="s">
        <v>112</v>
      </c>
    </row>
    <row r="60" spans="1:4" x14ac:dyDescent="0.35">
      <c r="A60" s="4">
        <v>46032</v>
      </c>
      <c r="B60" s="1" t="s">
        <v>31</v>
      </c>
      <c r="C60" s="7">
        <v>22000</v>
      </c>
      <c r="D60" s="1" t="s">
        <v>113</v>
      </c>
    </row>
    <row r="61" spans="1:4" x14ac:dyDescent="0.35">
      <c r="A61" s="4">
        <v>46032</v>
      </c>
      <c r="B61" s="1" t="s">
        <v>86</v>
      </c>
      <c r="C61" s="7">
        <v>5000</v>
      </c>
      <c r="D61" s="1" t="s">
        <v>114</v>
      </c>
    </row>
    <row r="62" spans="1:4" x14ac:dyDescent="0.35">
      <c r="A62" s="4">
        <v>46032</v>
      </c>
      <c r="B62" s="1" t="s">
        <v>27</v>
      </c>
      <c r="C62" s="7">
        <v>70000</v>
      </c>
      <c r="D62" s="1" t="s">
        <v>115</v>
      </c>
    </row>
    <row r="63" spans="1:4" x14ac:dyDescent="0.35">
      <c r="A63" s="4">
        <v>46032</v>
      </c>
      <c r="B63" s="1" t="s">
        <v>23</v>
      </c>
      <c r="C63" s="7">
        <v>52000</v>
      </c>
      <c r="D63" s="1" t="s">
        <v>116</v>
      </c>
    </row>
    <row r="64" spans="1:4" x14ac:dyDescent="0.35">
      <c r="A64" s="4">
        <v>46032</v>
      </c>
      <c r="B64" s="1" t="s">
        <v>23</v>
      </c>
      <c r="C64" s="7">
        <v>100000</v>
      </c>
      <c r="D64" s="1" t="s">
        <v>117</v>
      </c>
    </row>
    <row r="65" spans="1:4" x14ac:dyDescent="0.35">
      <c r="A65" s="4">
        <v>46032</v>
      </c>
      <c r="B65" s="1" t="s">
        <v>23</v>
      </c>
      <c r="C65" s="7">
        <v>1950</v>
      </c>
      <c r="D65" s="1" t="s">
        <v>118</v>
      </c>
    </row>
    <row r="66" spans="1:4" x14ac:dyDescent="0.35">
      <c r="A66" s="4">
        <v>46032</v>
      </c>
      <c r="B66" s="1" t="s">
        <v>26</v>
      </c>
      <c r="C66" s="7">
        <v>550</v>
      </c>
      <c r="D66" s="1" t="s">
        <v>119</v>
      </c>
    </row>
    <row r="67" spans="1:4" x14ac:dyDescent="0.35">
      <c r="A67" s="4">
        <v>46032</v>
      </c>
      <c r="B67" s="1" t="s">
        <v>20</v>
      </c>
      <c r="C67" s="7">
        <v>350</v>
      </c>
      <c r="D67" s="1" t="s">
        <v>120</v>
      </c>
    </row>
    <row r="68" spans="1:4" x14ac:dyDescent="0.35">
      <c r="A68" s="4">
        <v>46032</v>
      </c>
      <c r="B68" s="1" t="s">
        <v>5</v>
      </c>
      <c r="C68" s="7">
        <v>100</v>
      </c>
      <c r="D68" s="1" t="s">
        <v>121</v>
      </c>
    </row>
    <row r="69" spans="1:4" x14ac:dyDescent="0.35">
      <c r="A69" s="4">
        <v>46032</v>
      </c>
      <c r="B69" s="1" t="s">
        <v>5</v>
      </c>
      <c r="C69" s="7">
        <v>100</v>
      </c>
      <c r="D69" s="1" t="s">
        <v>122</v>
      </c>
    </row>
    <row r="70" spans="1:4" x14ac:dyDescent="0.35">
      <c r="A70" s="4">
        <v>46032</v>
      </c>
      <c r="B70" s="1" t="s">
        <v>28</v>
      </c>
      <c r="C70" s="7">
        <v>880</v>
      </c>
      <c r="D70" s="1" t="s">
        <v>123</v>
      </c>
    </row>
    <row r="71" spans="1:4" x14ac:dyDescent="0.35">
      <c r="A71" s="4">
        <v>46033</v>
      </c>
      <c r="B71" s="1" t="s">
        <v>23</v>
      </c>
      <c r="C71" s="7">
        <v>9000</v>
      </c>
      <c r="D71" s="1" t="s">
        <v>124</v>
      </c>
    </row>
    <row r="72" spans="1:4" x14ac:dyDescent="0.35">
      <c r="A72" s="4">
        <v>46033</v>
      </c>
      <c r="B72" s="1" t="s">
        <v>28</v>
      </c>
      <c r="C72" s="7">
        <v>400</v>
      </c>
      <c r="D72" s="1" t="s">
        <v>125</v>
      </c>
    </row>
    <row r="73" spans="1:4" x14ac:dyDescent="0.35">
      <c r="A73" s="4">
        <v>46036</v>
      </c>
      <c r="B73" s="1" t="s">
        <v>31</v>
      </c>
      <c r="C73" s="7">
        <v>12500</v>
      </c>
      <c r="D73" s="1" t="s">
        <v>126</v>
      </c>
    </row>
    <row r="74" spans="1:4" x14ac:dyDescent="0.35">
      <c r="A74" s="4">
        <v>46036</v>
      </c>
      <c r="B74" s="1" t="s">
        <v>10</v>
      </c>
      <c r="C74" s="7">
        <v>15000</v>
      </c>
      <c r="D74" s="1" t="s">
        <v>127</v>
      </c>
    </row>
    <row r="75" spans="1:4" x14ac:dyDescent="0.35">
      <c r="A75" s="4">
        <v>46036</v>
      </c>
      <c r="B75" s="1" t="s">
        <v>26</v>
      </c>
      <c r="C75" s="7">
        <v>1000</v>
      </c>
      <c r="D75" s="1" t="s">
        <v>128</v>
      </c>
    </row>
    <row r="76" spans="1:4" x14ac:dyDescent="0.35">
      <c r="A76" s="4">
        <v>46029</v>
      </c>
      <c r="B76" s="1" t="s">
        <v>26</v>
      </c>
      <c r="C76" s="7">
        <v>500</v>
      </c>
      <c r="D76" s="1" t="s">
        <v>131</v>
      </c>
    </row>
    <row r="77" spans="1:4" x14ac:dyDescent="0.35">
      <c r="A77" s="4">
        <v>46041</v>
      </c>
      <c r="B77" s="1" t="s">
        <v>5</v>
      </c>
      <c r="C77" s="7">
        <v>1000</v>
      </c>
      <c r="D77" s="1" t="s">
        <v>129</v>
      </c>
    </row>
    <row r="78" spans="1:4" x14ac:dyDescent="0.35">
      <c r="A78" s="4">
        <v>46042</v>
      </c>
      <c r="B78" s="1" t="s">
        <v>26</v>
      </c>
      <c r="C78" s="7">
        <v>16700</v>
      </c>
      <c r="D78" s="1" t="s">
        <v>130</v>
      </c>
    </row>
    <row r="79" spans="1:4" x14ac:dyDescent="0.35">
      <c r="A79" s="4">
        <v>46044</v>
      </c>
      <c r="B79" s="1" t="s">
        <v>20</v>
      </c>
      <c r="C79" s="7">
        <v>830</v>
      </c>
      <c r="D79" s="1" t="s">
        <v>132</v>
      </c>
    </row>
    <row r="80" spans="1:4" x14ac:dyDescent="0.35">
      <c r="A80" s="4">
        <v>46044</v>
      </c>
      <c r="B80" s="1" t="s">
        <v>28</v>
      </c>
      <c r="C80" s="7">
        <v>170</v>
      </c>
      <c r="D80" s="1" t="s">
        <v>133</v>
      </c>
    </row>
    <row r="81" spans="1:4" x14ac:dyDescent="0.35">
      <c r="A81" s="4">
        <v>46045</v>
      </c>
      <c r="B81" s="1" t="s">
        <v>32</v>
      </c>
      <c r="C81" s="7">
        <v>7200</v>
      </c>
      <c r="D81" s="1" t="s">
        <v>134</v>
      </c>
    </row>
    <row r="82" spans="1:4" x14ac:dyDescent="0.35">
      <c r="A82" s="4">
        <v>46045</v>
      </c>
      <c r="B82" s="1" t="s">
        <v>28</v>
      </c>
      <c r="C82" s="7">
        <v>75</v>
      </c>
      <c r="D82" s="1" t="s">
        <v>78</v>
      </c>
    </row>
    <row r="83" spans="1:4" x14ac:dyDescent="0.35">
      <c r="A83" s="4">
        <v>46046</v>
      </c>
      <c r="B83" s="1" t="s">
        <v>26</v>
      </c>
      <c r="C83" s="7">
        <v>11400</v>
      </c>
      <c r="D83" s="1" t="s">
        <v>135</v>
      </c>
    </row>
    <row r="84" spans="1:4" x14ac:dyDescent="0.35">
      <c r="A84" s="4">
        <v>46046</v>
      </c>
      <c r="B84" s="1" t="s">
        <v>10</v>
      </c>
      <c r="C84" s="7">
        <v>15000</v>
      </c>
      <c r="D84" s="1" t="s">
        <v>136</v>
      </c>
    </row>
    <row r="85" spans="1:4" x14ac:dyDescent="0.35">
      <c r="A85" s="4">
        <v>46046</v>
      </c>
      <c r="B85" s="1" t="s">
        <v>23</v>
      </c>
      <c r="C85" s="7">
        <v>100000</v>
      </c>
      <c r="D85" s="1" t="s">
        <v>137</v>
      </c>
    </row>
    <row r="86" spans="1:4" x14ac:dyDescent="0.35">
      <c r="A86" s="4">
        <v>46046</v>
      </c>
      <c r="B86" s="1" t="s">
        <v>20</v>
      </c>
      <c r="C86" s="7">
        <v>230</v>
      </c>
      <c r="D86" s="1" t="s">
        <v>138</v>
      </c>
    </row>
    <row r="87" spans="1:4" x14ac:dyDescent="0.35">
      <c r="A87" s="4">
        <v>46050</v>
      </c>
      <c r="B87" s="1" t="s">
        <v>26</v>
      </c>
      <c r="C87" s="7">
        <v>1500</v>
      </c>
      <c r="D87" s="1" t="s">
        <v>139</v>
      </c>
    </row>
    <row r="88" spans="1:4" x14ac:dyDescent="0.35">
      <c r="A88" s="4">
        <v>46051</v>
      </c>
      <c r="B88" s="1" t="s">
        <v>26</v>
      </c>
      <c r="C88" s="7">
        <v>3000</v>
      </c>
      <c r="D88" s="1" t="s">
        <v>140</v>
      </c>
    </row>
    <row r="89" spans="1:4" x14ac:dyDescent="0.35">
      <c r="A89" s="4">
        <v>46051</v>
      </c>
      <c r="B89" s="1" t="s">
        <v>28</v>
      </c>
      <c r="C89" s="7">
        <v>100</v>
      </c>
      <c r="D89" s="1" t="s">
        <v>143</v>
      </c>
    </row>
    <row r="90" spans="1:4" x14ac:dyDescent="0.35">
      <c r="A90" s="4">
        <v>46053</v>
      </c>
      <c r="B90" s="1" t="s">
        <v>26</v>
      </c>
      <c r="C90" s="7">
        <v>25200</v>
      </c>
      <c r="D90" s="1" t="s">
        <v>144</v>
      </c>
    </row>
    <row r="91" spans="1:4" x14ac:dyDescent="0.35">
      <c r="A91" s="4">
        <v>46053</v>
      </c>
      <c r="B91" s="1" t="s">
        <v>27</v>
      </c>
      <c r="C91" s="7">
        <v>30000</v>
      </c>
      <c r="D91" s="1" t="s">
        <v>145</v>
      </c>
    </row>
    <row r="92" spans="1:4" x14ac:dyDescent="0.35">
      <c r="A92" s="4">
        <v>46053</v>
      </c>
      <c r="B92" s="1" t="s">
        <v>23</v>
      </c>
      <c r="C92" s="7">
        <v>115000</v>
      </c>
      <c r="D92" s="1" t="s">
        <v>146</v>
      </c>
    </row>
    <row r="93" spans="1:4" x14ac:dyDescent="0.35">
      <c r="A93" s="4">
        <v>46053</v>
      </c>
      <c r="B93" s="1" t="s">
        <v>23</v>
      </c>
      <c r="C93" s="7">
        <v>15000</v>
      </c>
      <c r="D93" s="1" t="s">
        <v>147</v>
      </c>
    </row>
    <row r="94" spans="1:4" x14ac:dyDescent="0.35">
      <c r="A94" s="4">
        <v>46053</v>
      </c>
      <c r="B94" s="1" t="s">
        <v>23</v>
      </c>
      <c r="C94" s="7">
        <v>30000</v>
      </c>
      <c r="D94" s="1" t="s">
        <v>148</v>
      </c>
    </row>
    <row r="95" spans="1:4" x14ac:dyDescent="0.35">
      <c r="A95" s="4">
        <v>46053</v>
      </c>
      <c r="B95" s="1" t="s">
        <v>23</v>
      </c>
      <c r="C95" s="7">
        <v>40000</v>
      </c>
      <c r="D95" s="1" t="s">
        <v>149</v>
      </c>
    </row>
    <row r="96" spans="1:4" x14ac:dyDescent="0.35">
      <c r="A96" s="4">
        <v>46056</v>
      </c>
      <c r="B96" s="1" t="s">
        <v>28</v>
      </c>
      <c r="C96" s="7">
        <v>700</v>
      </c>
      <c r="D96" s="1" t="s">
        <v>150</v>
      </c>
    </row>
    <row r="97" spans="1:4" x14ac:dyDescent="0.35">
      <c r="A97" s="4">
        <v>46057</v>
      </c>
      <c r="B97" s="1" t="s">
        <v>98</v>
      </c>
      <c r="C97" s="7">
        <v>40000</v>
      </c>
      <c r="D97" s="1" t="s">
        <v>78</v>
      </c>
    </row>
    <row r="98" spans="1:4" x14ac:dyDescent="0.35">
      <c r="A98" s="4">
        <v>46057</v>
      </c>
      <c r="B98" s="1" t="s">
        <v>28</v>
      </c>
      <c r="C98" s="7">
        <v>220</v>
      </c>
      <c r="D98" s="1" t="s">
        <v>151</v>
      </c>
    </row>
    <row r="99" spans="1:4" x14ac:dyDescent="0.35">
      <c r="A99" s="4">
        <v>46057</v>
      </c>
      <c r="B99" s="1" t="s">
        <v>5</v>
      </c>
      <c r="C99" s="7">
        <v>150</v>
      </c>
      <c r="D99" s="1" t="s">
        <v>152</v>
      </c>
    </row>
    <row r="100" spans="1:4" x14ac:dyDescent="0.35">
      <c r="A100" s="4">
        <v>46057</v>
      </c>
      <c r="B100" s="1" t="s">
        <v>27</v>
      </c>
      <c r="C100" s="7">
        <v>10000</v>
      </c>
      <c r="D100" s="1" t="s">
        <v>155</v>
      </c>
    </row>
    <row r="101" spans="1:4" x14ac:dyDescent="0.35">
      <c r="A101" s="24">
        <v>46058</v>
      </c>
      <c r="B101" s="25" t="s">
        <v>167</v>
      </c>
      <c r="C101" s="26">
        <v>1750</v>
      </c>
      <c r="D101" s="25" t="s">
        <v>153</v>
      </c>
    </row>
    <row r="102" spans="1:4" x14ac:dyDescent="0.35">
      <c r="A102" s="4">
        <v>46060</v>
      </c>
      <c r="B102" s="1" t="s">
        <v>26</v>
      </c>
      <c r="C102" s="7">
        <v>25650</v>
      </c>
      <c r="D102" s="1" t="s">
        <v>144</v>
      </c>
    </row>
    <row r="103" spans="1:4" x14ac:dyDescent="0.35">
      <c r="A103" s="4">
        <v>46060</v>
      </c>
      <c r="B103" s="1" t="s">
        <v>27</v>
      </c>
      <c r="C103" s="7">
        <v>40000</v>
      </c>
      <c r="D103" s="1" t="s">
        <v>154</v>
      </c>
    </row>
    <row r="104" spans="1:4" x14ac:dyDescent="0.35">
      <c r="A104" s="4">
        <v>46060</v>
      </c>
      <c r="B104" s="1" t="s">
        <v>31</v>
      </c>
      <c r="C104" s="7">
        <v>16800</v>
      </c>
      <c r="D104" s="1" t="s">
        <v>156</v>
      </c>
    </row>
    <row r="105" spans="1:4" x14ac:dyDescent="0.35">
      <c r="A105" s="4">
        <v>46060</v>
      </c>
      <c r="B105" s="1" t="s">
        <v>10</v>
      </c>
      <c r="C105" s="7">
        <v>7400</v>
      </c>
      <c r="D105" s="1" t="s">
        <v>157</v>
      </c>
    </row>
    <row r="106" spans="1:4" x14ac:dyDescent="0.35">
      <c r="A106" s="4">
        <v>46060</v>
      </c>
      <c r="B106" s="1" t="s">
        <v>23</v>
      </c>
      <c r="C106" s="7">
        <v>30000</v>
      </c>
      <c r="D106" s="1" t="s">
        <v>147</v>
      </c>
    </row>
    <row r="107" spans="1:4" x14ac:dyDescent="0.35">
      <c r="A107" s="4">
        <v>46060</v>
      </c>
      <c r="B107" s="1" t="s">
        <v>5</v>
      </c>
      <c r="C107" s="7">
        <v>1200</v>
      </c>
      <c r="D107" s="1" t="s">
        <v>158</v>
      </c>
    </row>
    <row r="108" spans="1:4" x14ac:dyDescent="0.35">
      <c r="A108" s="4">
        <v>46060</v>
      </c>
      <c r="B108" s="1" t="s">
        <v>23</v>
      </c>
      <c r="C108" s="7">
        <v>144000</v>
      </c>
      <c r="D108" s="1" t="s">
        <v>159</v>
      </c>
    </row>
    <row r="109" spans="1:4" x14ac:dyDescent="0.35">
      <c r="A109" s="4">
        <v>46062</v>
      </c>
      <c r="B109" s="1" t="s">
        <v>20</v>
      </c>
      <c r="C109" s="7">
        <v>1460</v>
      </c>
      <c r="D109" s="1" t="s">
        <v>160</v>
      </c>
    </row>
    <row r="110" spans="1:4" x14ac:dyDescent="0.35">
      <c r="A110" s="4">
        <v>46062</v>
      </c>
      <c r="B110" s="1" t="s">
        <v>5</v>
      </c>
      <c r="C110" s="7">
        <v>130</v>
      </c>
      <c r="D110" s="1" t="s">
        <v>161</v>
      </c>
    </row>
    <row r="111" spans="1:4" x14ac:dyDescent="0.35">
      <c r="A111" s="4">
        <v>46062</v>
      </c>
      <c r="B111" s="1" t="s">
        <v>23</v>
      </c>
      <c r="C111" s="7">
        <v>40000</v>
      </c>
      <c r="D111" s="1" t="s">
        <v>148</v>
      </c>
    </row>
    <row r="112" spans="1:4" x14ac:dyDescent="0.35">
      <c r="A112" s="4">
        <v>46064</v>
      </c>
      <c r="B112" s="1" t="s">
        <v>28</v>
      </c>
      <c r="C112" s="7">
        <v>700</v>
      </c>
      <c r="D112" s="1" t="s">
        <v>163</v>
      </c>
    </row>
    <row r="113" spans="1:4" x14ac:dyDescent="0.35">
      <c r="A113" s="4">
        <v>46064</v>
      </c>
      <c r="B113" s="1" t="s">
        <v>27</v>
      </c>
      <c r="C113" s="7">
        <v>20000</v>
      </c>
      <c r="D113" s="1" t="s">
        <v>164</v>
      </c>
    </row>
    <row r="114" spans="1:4" x14ac:dyDescent="0.35">
      <c r="A114" s="4">
        <v>46066</v>
      </c>
      <c r="B114" s="1" t="s">
        <v>26</v>
      </c>
      <c r="C114" s="7">
        <v>5000</v>
      </c>
      <c r="D114" s="1" t="s">
        <v>165</v>
      </c>
    </row>
    <row r="115" spans="1:4" x14ac:dyDescent="0.35">
      <c r="A115" s="4">
        <v>46066</v>
      </c>
      <c r="B115" s="1" t="s">
        <v>37</v>
      </c>
      <c r="C115" s="7">
        <v>100</v>
      </c>
      <c r="D115" s="1" t="s">
        <v>166</v>
      </c>
    </row>
    <row r="116" spans="1:4" x14ac:dyDescent="0.35">
      <c r="A116" s="4">
        <v>46067</v>
      </c>
      <c r="B116" s="1" t="s">
        <v>26</v>
      </c>
      <c r="C116" s="7">
        <v>65300</v>
      </c>
      <c r="D116" s="1" t="s">
        <v>144</v>
      </c>
    </row>
    <row r="117" spans="1:4" x14ac:dyDescent="0.35">
      <c r="A117" s="4">
        <v>46067</v>
      </c>
      <c r="B117" s="1" t="s">
        <v>31</v>
      </c>
      <c r="C117" s="7">
        <v>14000</v>
      </c>
      <c r="D117" s="1" t="s">
        <v>168</v>
      </c>
    </row>
    <row r="118" spans="1:4" x14ac:dyDescent="0.35">
      <c r="A118" s="4">
        <v>46067</v>
      </c>
      <c r="B118" s="1" t="s">
        <v>23</v>
      </c>
      <c r="C118" s="7">
        <v>100000</v>
      </c>
      <c r="D118" s="1" t="s">
        <v>85</v>
      </c>
    </row>
    <row r="119" spans="1:4" x14ac:dyDescent="0.35">
      <c r="A119" s="4">
        <v>46067</v>
      </c>
      <c r="B119" s="1" t="s">
        <v>23</v>
      </c>
      <c r="C119" s="7">
        <v>30000</v>
      </c>
      <c r="D119" s="1" t="s">
        <v>118</v>
      </c>
    </row>
    <row r="120" spans="1:4" x14ac:dyDescent="0.35">
      <c r="A120" s="4">
        <v>46067</v>
      </c>
      <c r="B120" s="1" t="s">
        <v>23</v>
      </c>
      <c r="C120" s="7">
        <v>100000</v>
      </c>
      <c r="D120" s="1" t="s">
        <v>117</v>
      </c>
    </row>
    <row r="121" spans="1:4" x14ac:dyDescent="0.35">
      <c r="A121" s="4">
        <v>46067</v>
      </c>
      <c r="B121" s="1" t="s">
        <v>27</v>
      </c>
      <c r="C121" s="7">
        <v>43500</v>
      </c>
      <c r="D121" s="1" t="s">
        <v>169</v>
      </c>
    </row>
    <row r="122" spans="1:4" x14ac:dyDescent="0.35">
      <c r="A122" s="4">
        <v>46071</v>
      </c>
      <c r="B122" s="1" t="s">
        <v>28</v>
      </c>
      <c r="C122" s="7">
        <v>1000</v>
      </c>
      <c r="D122" s="1" t="s">
        <v>170</v>
      </c>
    </row>
    <row r="123" spans="1:4" x14ac:dyDescent="0.35">
      <c r="A123" s="4">
        <v>46074</v>
      </c>
      <c r="B123" s="1" t="s">
        <v>66</v>
      </c>
      <c r="C123" s="7">
        <v>2500</v>
      </c>
      <c r="D123" s="1" t="s">
        <v>171</v>
      </c>
    </row>
    <row r="124" spans="1:4" x14ac:dyDescent="0.35">
      <c r="A124" s="4">
        <v>46074</v>
      </c>
      <c r="B124" s="1" t="s">
        <v>26</v>
      </c>
      <c r="C124" s="7">
        <v>26450</v>
      </c>
      <c r="D124" s="1" t="s">
        <v>172</v>
      </c>
    </row>
    <row r="125" spans="1:4" x14ac:dyDescent="0.35">
      <c r="A125" s="4">
        <v>46074</v>
      </c>
      <c r="B125" s="1" t="s">
        <v>5</v>
      </c>
      <c r="C125" s="7">
        <v>100</v>
      </c>
      <c r="D125" s="1" t="s">
        <v>173</v>
      </c>
    </row>
    <row r="126" spans="1:4" x14ac:dyDescent="0.35">
      <c r="A126" s="4">
        <v>46074</v>
      </c>
      <c r="B126" s="1" t="s">
        <v>5</v>
      </c>
      <c r="C126" s="7">
        <v>110</v>
      </c>
      <c r="D126" s="1" t="s">
        <v>174</v>
      </c>
    </row>
    <row r="127" spans="1:4" x14ac:dyDescent="0.35">
      <c r="A127" s="4">
        <v>46074</v>
      </c>
      <c r="B127" s="1" t="s">
        <v>26</v>
      </c>
      <c r="C127" s="7">
        <v>340</v>
      </c>
      <c r="D127" s="1" t="s">
        <v>175</v>
      </c>
    </row>
    <row r="128" spans="1:4" x14ac:dyDescent="0.35">
      <c r="A128" s="4">
        <v>46074</v>
      </c>
      <c r="B128" s="1" t="s">
        <v>23</v>
      </c>
      <c r="C128" s="7">
        <v>20000</v>
      </c>
      <c r="D128" s="1" t="s">
        <v>176</v>
      </c>
    </row>
    <row r="129" spans="1:6" x14ac:dyDescent="0.35">
      <c r="A129" s="4">
        <v>46074</v>
      </c>
      <c r="B129" s="1" t="s">
        <v>23</v>
      </c>
      <c r="C129" s="7">
        <v>5900</v>
      </c>
      <c r="D129" s="1" t="s">
        <v>177</v>
      </c>
    </row>
    <row r="130" spans="1:6" x14ac:dyDescent="0.35">
      <c r="A130" s="4">
        <v>46074</v>
      </c>
      <c r="B130" s="1" t="s">
        <v>27</v>
      </c>
      <c r="C130" s="7">
        <v>50000</v>
      </c>
      <c r="D130" s="1" t="s">
        <v>179</v>
      </c>
    </row>
    <row r="131" spans="1:6" x14ac:dyDescent="0.35">
      <c r="A131" s="4">
        <v>46074</v>
      </c>
      <c r="B131" s="1" t="s">
        <v>31</v>
      </c>
      <c r="C131" s="7">
        <v>15000</v>
      </c>
      <c r="D131" s="1" t="s">
        <v>180</v>
      </c>
    </row>
    <row r="132" spans="1:6" x14ac:dyDescent="0.35">
      <c r="A132" s="4">
        <v>46077</v>
      </c>
      <c r="B132" s="1" t="s">
        <v>10</v>
      </c>
      <c r="C132" s="7">
        <v>3800</v>
      </c>
      <c r="D132" s="1" t="s">
        <v>181</v>
      </c>
      <c r="F132" s="8"/>
    </row>
    <row r="133" spans="1:6" x14ac:dyDescent="0.35">
      <c r="A133" s="4">
        <v>46079</v>
      </c>
      <c r="B133" s="1" t="s">
        <v>28</v>
      </c>
      <c r="C133" s="7">
        <v>800</v>
      </c>
      <c r="D133" s="1" t="s">
        <v>123</v>
      </c>
    </row>
    <row r="134" spans="1:6" x14ac:dyDescent="0.35">
      <c r="A134" s="4">
        <v>46081</v>
      </c>
      <c r="B134" s="1" t="s">
        <v>5</v>
      </c>
      <c r="C134" s="7">
        <v>680</v>
      </c>
      <c r="D134" s="1" t="s">
        <v>182</v>
      </c>
    </row>
    <row r="135" spans="1:6" x14ac:dyDescent="0.35">
      <c r="A135" s="4">
        <v>46081</v>
      </c>
      <c r="B135" s="1" t="s">
        <v>30</v>
      </c>
      <c r="C135" s="7">
        <v>490</v>
      </c>
      <c r="D135" s="1" t="s">
        <v>185</v>
      </c>
    </row>
    <row r="136" spans="1:6" x14ac:dyDescent="0.35">
      <c r="A136" s="4">
        <v>46081</v>
      </c>
      <c r="B136" s="1" t="s">
        <v>26</v>
      </c>
      <c r="C136" s="7">
        <v>16050</v>
      </c>
      <c r="D136" s="1" t="s">
        <v>183</v>
      </c>
    </row>
    <row r="137" spans="1:6" x14ac:dyDescent="0.35">
      <c r="A137" s="4">
        <v>46081</v>
      </c>
      <c r="B137" s="1" t="s">
        <v>23</v>
      </c>
      <c r="C137" s="7">
        <v>100000</v>
      </c>
      <c r="D137" s="1" t="s">
        <v>76</v>
      </c>
      <c r="F137" s="8"/>
    </row>
    <row r="138" spans="1:6" x14ac:dyDescent="0.35">
      <c r="A138" s="4">
        <v>46081</v>
      </c>
      <c r="B138" s="1" t="s">
        <v>23</v>
      </c>
      <c r="C138" s="7">
        <v>100000</v>
      </c>
      <c r="D138" s="1" t="s">
        <v>184</v>
      </c>
    </row>
    <row r="139" spans="1:6" x14ac:dyDescent="0.35">
      <c r="A139" s="4">
        <v>46084</v>
      </c>
      <c r="B139" s="1" t="s">
        <v>27</v>
      </c>
      <c r="C139" s="7">
        <v>20000</v>
      </c>
      <c r="D139" s="1" t="s">
        <v>186</v>
      </c>
    </row>
    <row r="140" spans="1:6" x14ac:dyDescent="0.35">
      <c r="A140" s="4">
        <v>46085</v>
      </c>
      <c r="B140" s="1" t="s">
        <v>5</v>
      </c>
      <c r="C140" s="7">
        <v>3100</v>
      </c>
      <c r="D140" s="1" t="s">
        <v>187</v>
      </c>
    </row>
    <row r="141" spans="1:6" x14ac:dyDescent="0.35">
      <c r="A141" s="4">
        <v>46086</v>
      </c>
      <c r="B141" s="1" t="s">
        <v>23</v>
      </c>
      <c r="C141" s="7">
        <v>10500</v>
      </c>
      <c r="D141" s="1" t="s">
        <v>177</v>
      </c>
    </row>
    <row r="142" spans="1:6" x14ac:dyDescent="0.35">
      <c r="A142" s="4">
        <v>46086</v>
      </c>
      <c r="B142" s="1" t="s">
        <v>10</v>
      </c>
      <c r="C142" s="7">
        <v>14500</v>
      </c>
      <c r="D142" s="1" t="s">
        <v>188</v>
      </c>
    </row>
    <row r="143" spans="1:6" x14ac:dyDescent="0.35">
      <c r="A143" s="4">
        <v>46086</v>
      </c>
      <c r="B143" s="1" t="s">
        <v>24</v>
      </c>
      <c r="C143" s="7">
        <v>1300</v>
      </c>
      <c r="D143" s="1" t="s">
        <v>189</v>
      </c>
    </row>
    <row r="144" spans="1:6" x14ac:dyDescent="0.35">
      <c r="A144" s="4">
        <v>46086</v>
      </c>
      <c r="B144" s="1" t="s">
        <v>5</v>
      </c>
      <c r="C144" s="7">
        <v>2900</v>
      </c>
      <c r="D144" s="1" t="s">
        <v>190</v>
      </c>
    </row>
    <row r="145" spans="1:4" x14ac:dyDescent="0.35">
      <c r="A145" s="4">
        <v>46088</v>
      </c>
      <c r="B145" s="1" t="s">
        <v>26</v>
      </c>
      <c r="C145" s="7">
        <v>32250</v>
      </c>
      <c r="D145" s="1" t="s">
        <v>191</v>
      </c>
    </row>
    <row r="146" spans="1:4" x14ac:dyDescent="0.35">
      <c r="A146" s="4">
        <v>46088</v>
      </c>
      <c r="B146" s="1" t="s">
        <v>27</v>
      </c>
      <c r="C146" s="7">
        <v>50000</v>
      </c>
      <c r="D146" s="1" t="s">
        <v>192</v>
      </c>
    </row>
    <row r="147" spans="1:4" x14ac:dyDescent="0.35">
      <c r="A147" s="4">
        <v>46088</v>
      </c>
      <c r="B147" s="1" t="s">
        <v>31</v>
      </c>
      <c r="C147" s="7">
        <v>23000</v>
      </c>
      <c r="D147" s="1" t="s">
        <v>193</v>
      </c>
    </row>
    <row r="148" spans="1:4" x14ac:dyDescent="0.35">
      <c r="A148" s="4">
        <v>46088</v>
      </c>
      <c r="B148" s="1" t="s">
        <v>23</v>
      </c>
      <c r="C148" s="7">
        <v>30000</v>
      </c>
      <c r="D148" s="1" t="s">
        <v>148</v>
      </c>
    </row>
    <row r="149" spans="1:4" x14ac:dyDescent="0.35">
      <c r="A149" s="4">
        <v>46088</v>
      </c>
      <c r="B149" s="1" t="s">
        <v>10</v>
      </c>
      <c r="C149" s="7">
        <v>9000</v>
      </c>
      <c r="D149" s="1" t="s">
        <v>194</v>
      </c>
    </row>
    <row r="150" spans="1:4" x14ac:dyDescent="0.35">
      <c r="A150" s="4">
        <v>46089</v>
      </c>
      <c r="B150" s="1" t="s">
        <v>26</v>
      </c>
      <c r="C150" s="7">
        <v>150</v>
      </c>
      <c r="D150" s="1" t="s">
        <v>196</v>
      </c>
    </row>
    <row r="151" spans="1:4" x14ac:dyDescent="0.35">
      <c r="A151" s="4">
        <v>46090</v>
      </c>
      <c r="B151" s="1" t="s">
        <v>28</v>
      </c>
      <c r="C151" s="7">
        <v>1400</v>
      </c>
      <c r="D151" s="1" t="s">
        <v>197</v>
      </c>
    </row>
    <row r="152" spans="1:4" x14ac:dyDescent="0.35">
      <c r="A152" s="4">
        <v>46090</v>
      </c>
      <c r="B152" s="1" t="s">
        <v>5</v>
      </c>
      <c r="C152" s="7">
        <v>100</v>
      </c>
      <c r="D152" s="1" t="s">
        <v>198</v>
      </c>
    </row>
    <row r="153" spans="1:4" x14ac:dyDescent="0.35">
      <c r="A153" s="4">
        <v>46091</v>
      </c>
      <c r="B153" s="1" t="s">
        <v>27</v>
      </c>
      <c r="C153" s="7">
        <v>9500</v>
      </c>
      <c r="D153" s="1" t="s">
        <v>199</v>
      </c>
    </row>
    <row r="154" spans="1:4" x14ac:dyDescent="0.35">
      <c r="A154" s="4">
        <v>46092</v>
      </c>
      <c r="B154" s="1" t="s">
        <v>26</v>
      </c>
      <c r="C154" s="7">
        <v>5000</v>
      </c>
      <c r="D154" s="1" t="s">
        <v>200</v>
      </c>
    </row>
    <row r="155" spans="1:4" x14ac:dyDescent="0.35">
      <c r="A155" s="4">
        <v>46092</v>
      </c>
      <c r="B155" s="1" t="s">
        <v>5</v>
      </c>
      <c r="C155" s="7">
        <v>50</v>
      </c>
      <c r="D155" s="1" t="s">
        <v>201</v>
      </c>
    </row>
    <row r="156" spans="1:4" x14ac:dyDescent="0.35">
      <c r="A156" s="4">
        <v>46092</v>
      </c>
      <c r="B156" s="1" t="s">
        <v>21</v>
      </c>
      <c r="C156" s="7">
        <v>200</v>
      </c>
      <c r="D156" s="1" t="s">
        <v>202</v>
      </c>
    </row>
    <row r="157" spans="1:4" x14ac:dyDescent="0.35">
      <c r="A157" s="4">
        <v>46092</v>
      </c>
      <c r="B157" s="1" t="s">
        <v>5</v>
      </c>
      <c r="C157" s="7">
        <v>70</v>
      </c>
      <c r="D157" s="1" t="s">
        <v>203</v>
      </c>
    </row>
    <row r="158" spans="1:4" x14ac:dyDescent="0.35">
      <c r="A158" s="4">
        <v>46092</v>
      </c>
      <c r="B158" s="1" t="s">
        <v>20</v>
      </c>
      <c r="C158" s="7">
        <v>60</v>
      </c>
      <c r="D158" s="1" t="s">
        <v>204</v>
      </c>
    </row>
    <row r="159" spans="1:4" x14ac:dyDescent="0.35">
      <c r="A159" s="4">
        <v>46092</v>
      </c>
      <c r="B159" s="1" t="s">
        <v>5</v>
      </c>
      <c r="C159" s="7">
        <v>490</v>
      </c>
      <c r="D159" s="1" t="s">
        <v>205</v>
      </c>
    </row>
    <row r="160" spans="1:4" x14ac:dyDescent="0.35">
      <c r="A160" s="4">
        <v>46092</v>
      </c>
      <c r="B160" s="1" t="s">
        <v>20</v>
      </c>
      <c r="C160" s="7">
        <v>1040</v>
      </c>
      <c r="D160" s="1" t="s">
        <v>206</v>
      </c>
    </row>
    <row r="161" spans="1:9" x14ac:dyDescent="0.35">
      <c r="A161" s="4">
        <v>46092</v>
      </c>
      <c r="B161" s="1" t="s">
        <v>23</v>
      </c>
      <c r="C161" s="7">
        <v>50000</v>
      </c>
      <c r="D161" s="1" t="s">
        <v>146</v>
      </c>
    </row>
    <row r="162" spans="1:9" x14ac:dyDescent="0.35">
      <c r="A162" s="4">
        <v>46095</v>
      </c>
      <c r="B162" s="1" t="s">
        <v>26</v>
      </c>
      <c r="C162" s="7">
        <v>66700</v>
      </c>
      <c r="D162" s="1" t="s">
        <v>172</v>
      </c>
    </row>
    <row r="163" spans="1:9" x14ac:dyDescent="0.35">
      <c r="A163" s="4">
        <v>46097</v>
      </c>
      <c r="B163" s="1" t="s">
        <v>27</v>
      </c>
      <c r="C163" s="7">
        <v>20000</v>
      </c>
      <c r="D163" s="1" t="s">
        <v>207</v>
      </c>
    </row>
    <row r="164" spans="1:9" x14ac:dyDescent="0.35">
      <c r="A164" s="4">
        <v>46099</v>
      </c>
      <c r="B164" s="1" t="s">
        <v>28</v>
      </c>
      <c r="C164" s="7">
        <v>100</v>
      </c>
      <c r="D164" s="1" t="s">
        <v>208</v>
      </c>
    </row>
    <row r="165" spans="1:9" x14ac:dyDescent="0.35">
      <c r="A165" s="4">
        <v>46102</v>
      </c>
      <c r="B165" s="1" t="s">
        <v>26</v>
      </c>
      <c r="C165" s="7">
        <v>19800</v>
      </c>
      <c r="D165" s="1" t="s">
        <v>210</v>
      </c>
    </row>
    <row r="166" spans="1:9" x14ac:dyDescent="0.35">
      <c r="A166" s="4">
        <v>46102</v>
      </c>
      <c r="B166" s="1" t="s">
        <v>31</v>
      </c>
      <c r="C166" s="7">
        <v>12000</v>
      </c>
      <c r="D166" s="1" t="s">
        <v>211</v>
      </c>
    </row>
    <row r="167" spans="1:9" x14ac:dyDescent="0.35">
      <c r="A167" s="4">
        <v>46102</v>
      </c>
      <c r="B167" s="1" t="s">
        <v>27</v>
      </c>
      <c r="C167" s="7">
        <v>15000</v>
      </c>
      <c r="D167" s="1" t="s">
        <v>212</v>
      </c>
    </row>
    <row r="168" spans="1:9" x14ac:dyDescent="0.35">
      <c r="A168" s="4">
        <v>46102</v>
      </c>
      <c r="B168" s="1" t="s">
        <v>23</v>
      </c>
      <c r="C168" s="7">
        <v>100000</v>
      </c>
      <c r="D168" s="1" t="s">
        <v>117</v>
      </c>
    </row>
    <row r="169" spans="1:9" x14ac:dyDescent="0.35">
      <c r="A169" s="4">
        <v>46102</v>
      </c>
      <c r="B169" s="1" t="s">
        <v>23</v>
      </c>
      <c r="C169" s="7">
        <v>144000</v>
      </c>
      <c r="D169" s="1" t="s">
        <v>213</v>
      </c>
    </row>
    <row r="170" spans="1:9" x14ac:dyDescent="0.35">
      <c r="A170" s="4">
        <v>46102</v>
      </c>
      <c r="B170" s="1" t="s">
        <v>23</v>
      </c>
      <c r="C170" s="7">
        <v>15000</v>
      </c>
      <c r="D170" s="1" t="s">
        <v>214</v>
      </c>
    </row>
    <row r="171" spans="1:9" x14ac:dyDescent="0.35">
      <c r="A171" s="4">
        <v>46102</v>
      </c>
      <c r="B171" s="1" t="s">
        <v>23</v>
      </c>
      <c r="C171" s="7">
        <v>20350</v>
      </c>
      <c r="D171" s="1" t="s">
        <v>148</v>
      </c>
    </row>
    <row r="172" spans="1:9" x14ac:dyDescent="0.35">
      <c r="A172" s="22">
        <v>46106</v>
      </c>
      <c r="B172" s="21" t="s">
        <v>28</v>
      </c>
      <c r="C172" s="23">
        <v>880</v>
      </c>
      <c r="D172" s="21" t="s">
        <v>215</v>
      </c>
    </row>
    <row r="173" spans="1:9" x14ac:dyDescent="0.35">
      <c r="A173" s="4">
        <v>46106</v>
      </c>
      <c r="B173" s="1" t="s">
        <v>37</v>
      </c>
      <c r="C173" s="7">
        <v>1200</v>
      </c>
      <c r="D173" s="1" t="s">
        <v>216</v>
      </c>
      <c r="I173" s="8"/>
    </row>
    <row r="174" spans="1:9" x14ac:dyDescent="0.35">
      <c r="A174" s="4">
        <v>46106</v>
      </c>
      <c r="B174" s="1" t="s">
        <v>5</v>
      </c>
      <c r="C174" s="7">
        <v>60</v>
      </c>
      <c r="D174" s="1" t="s">
        <v>201</v>
      </c>
    </row>
    <row r="175" spans="1:9" x14ac:dyDescent="0.35">
      <c r="A175" s="4">
        <v>46107</v>
      </c>
      <c r="B175" s="1" t="s">
        <v>27</v>
      </c>
      <c r="C175" s="7">
        <v>5000</v>
      </c>
      <c r="D175" s="1" t="s">
        <v>217</v>
      </c>
    </row>
    <row r="176" spans="1:9" x14ac:dyDescent="0.35">
      <c r="A176" s="4">
        <v>46108</v>
      </c>
      <c r="B176" s="1" t="s">
        <v>23</v>
      </c>
      <c r="C176" s="7">
        <v>100000</v>
      </c>
      <c r="D176" s="1" t="s">
        <v>117</v>
      </c>
      <c r="I176" s="8"/>
    </row>
    <row r="177" spans="1:9" x14ac:dyDescent="0.35">
      <c r="A177" s="4">
        <v>46109</v>
      </c>
      <c r="B177" s="1" t="s">
        <v>26</v>
      </c>
      <c r="C177" s="7">
        <v>41350</v>
      </c>
      <c r="D177" s="1" t="s">
        <v>144</v>
      </c>
    </row>
    <row r="178" spans="1:9" x14ac:dyDescent="0.35">
      <c r="A178" s="4">
        <v>46109</v>
      </c>
      <c r="B178" s="1" t="s">
        <v>27</v>
      </c>
      <c r="C178" s="7">
        <v>20000</v>
      </c>
      <c r="D178" s="1" t="s">
        <v>218</v>
      </c>
    </row>
    <row r="179" spans="1:9" x14ac:dyDescent="0.35">
      <c r="A179" s="4">
        <v>46113</v>
      </c>
      <c r="B179" s="1" t="s">
        <v>37</v>
      </c>
      <c r="C179" s="7">
        <v>480</v>
      </c>
      <c r="D179" s="1" t="s">
        <v>219</v>
      </c>
      <c r="I179" s="8"/>
    </row>
    <row r="180" spans="1:9" x14ac:dyDescent="0.35">
      <c r="A180" s="4">
        <v>46113</v>
      </c>
      <c r="B180" s="1" t="s">
        <v>28</v>
      </c>
      <c r="C180" s="7">
        <v>800</v>
      </c>
      <c r="D180" s="1" t="s">
        <v>220</v>
      </c>
      <c r="I180" s="8"/>
    </row>
    <row r="181" spans="1:9" x14ac:dyDescent="0.35">
      <c r="A181" s="4">
        <v>46113</v>
      </c>
      <c r="B181" s="1" t="s">
        <v>5</v>
      </c>
      <c r="C181" s="7">
        <v>400</v>
      </c>
      <c r="D181" s="1" t="s">
        <v>221</v>
      </c>
      <c r="I181" s="8"/>
    </row>
    <row r="182" spans="1:9" x14ac:dyDescent="0.35">
      <c r="A182" s="4">
        <v>46116</v>
      </c>
      <c r="B182" s="1" t="s">
        <v>5</v>
      </c>
      <c r="C182" s="7">
        <v>1000</v>
      </c>
      <c r="D182" s="1" t="s">
        <v>222</v>
      </c>
    </row>
    <row r="183" spans="1:9" x14ac:dyDescent="0.35">
      <c r="A183" s="4">
        <v>46116</v>
      </c>
      <c r="B183" s="1" t="s">
        <v>27</v>
      </c>
      <c r="C183" s="7">
        <v>29000</v>
      </c>
      <c r="D183" s="1" t="s">
        <v>223</v>
      </c>
    </row>
    <row r="184" spans="1:9" x14ac:dyDescent="0.35">
      <c r="A184" s="4">
        <v>46116</v>
      </c>
      <c r="B184" s="1" t="s">
        <v>23</v>
      </c>
      <c r="C184" s="7">
        <v>200000</v>
      </c>
      <c r="D184" s="1" t="s">
        <v>224</v>
      </c>
    </row>
    <row r="185" spans="1:9" x14ac:dyDescent="0.35">
      <c r="A185" s="4">
        <v>46121</v>
      </c>
      <c r="B185" s="1" t="s">
        <v>5</v>
      </c>
      <c r="C185" s="7">
        <v>360</v>
      </c>
      <c r="D185" s="1" t="s">
        <v>226</v>
      </c>
    </row>
    <row r="186" spans="1:9" x14ac:dyDescent="0.35">
      <c r="A186" s="4">
        <v>46121</v>
      </c>
      <c r="B186" s="1" t="s">
        <v>37</v>
      </c>
      <c r="C186" s="7">
        <v>550</v>
      </c>
      <c r="D186" s="1" t="s">
        <v>225</v>
      </c>
    </row>
    <row r="187" spans="1:9" x14ac:dyDescent="0.35">
      <c r="A187" s="4">
        <v>46122</v>
      </c>
      <c r="B187" s="1" t="s">
        <v>5</v>
      </c>
      <c r="C187" s="7">
        <v>950</v>
      </c>
      <c r="D187" s="1" t="s">
        <v>227</v>
      </c>
    </row>
    <row r="188" spans="1:9" x14ac:dyDescent="0.35">
      <c r="A188" s="4">
        <v>46123</v>
      </c>
      <c r="B188" s="1" t="s">
        <v>5</v>
      </c>
      <c r="C188" s="7">
        <v>500</v>
      </c>
      <c r="D188" s="1" t="s">
        <v>228</v>
      </c>
      <c r="H188" s="8"/>
    </row>
    <row r="189" spans="1:9" x14ac:dyDescent="0.35">
      <c r="A189" s="4">
        <v>46123</v>
      </c>
      <c r="B189" s="1" t="s">
        <v>5</v>
      </c>
      <c r="C189" s="7">
        <v>200</v>
      </c>
      <c r="D189" s="1" t="s">
        <v>229</v>
      </c>
    </row>
    <row r="190" spans="1:9" x14ac:dyDescent="0.35">
      <c r="A190" s="4">
        <v>46123</v>
      </c>
      <c r="B190" s="1" t="s">
        <v>26</v>
      </c>
      <c r="C190" s="7">
        <v>4450</v>
      </c>
      <c r="D190" s="1" t="s">
        <v>172</v>
      </c>
    </row>
    <row r="191" spans="1:9" x14ac:dyDescent="0.35">
      <c r="A191" s="4">
        <v>46123</v>
      </c>
      <c r="B191" s="1" t="s">
        <v>33</v>
      </c>
      <c r="C191" s="7">
        <v>6000</v>
      </c>
      <c r="D191" s="1" t="s">
        <v>230</v>
      </c>
    </row>
    <row r="192" spans="1:9" x14ac:dyDescent="0.35">
      <c r="A192" s="4">
        <v>46123</v>
      </c>
      <c r="B192" s="1" t="s">
        <v>31</v>
      </c>
      <c r="C192" s="7">
        <v>27000</v>
      </c>
      <c r="D192" s="1" t="s">
        <v>231</v>
      </c>
    </row>
    <row r="193" spans="1:8" x14ac:dyDescent="0.35">
      <c r="A193" s="4">
        <v>46123</v>
      </c>
      <c r="B193" s="1" t="s">
        <v>31</v>
      </c>
      <c r="C193" s="7">
        <v>600</v>
      </c>
      <c r="D193" s="1" t="s">
        <v>235</v>
      </c>
    </row>
    <row r="194" spans="1:8" x14ac:dyDescent="0.35">
      <c r="A194" s="4">
        <v>46125</v>
      </c>
      <c r="B194" s="1" t="s">
        <v>27</v>
      </c>
      <c r="C194" s="7">
        <v>120000</v>
      </c>
      <c r="D194" s="1" t="s">
        <v>233</v>
      </c>
      <c r="H194" s="8"/>
    </row>
    <row r="195" spans="1:8" x14ac:dyDescent="0.35">
      <c r="A195" s="4">
        <v>46125</v>
      </c>
      <c r="B195" s="1" t="s">
        <v>37</v>
      </c>
      <c r="C195" s="7">
        <v>350</v>
      </c>
      <c r="D195" s="1" t="s">
        <v>234</v>
      </c>
      <c r="H195" s="8"/>
    </row>
    <row r="196" spans="1:8" x14ac:dyDescent="0.35">
      <c r="A196" s="4">
        <v>46128</v>
      </c>
      <c r="B196" s="1" t="s">
        <v>23</v>
      </c>
      <c r="C196" s="7">
        <v>30750</v>
      </c>
      <c r="D196" s="1" t="s">
        <v>214</v>
      </c>
      <c r="H196" s="8"/>
    </row>
    <row r="197" spans="1:8" x14ac:dyDescent="0.35">
      <c r="A197" s="4">
        <v>46129</v>
      </c>
      <c r="B197" s="1" t="s">
        <v>5</v>
      </c>
      <c r="C197" s="7">
        <v>665</v>
      </c>
      <c r="D197" s="1" t="s">
        <v>236</v>
      </c>
    </row>
    <row r="198" spans="1:8" x14ac:dyDescent="0.35">
      <c r="A198" s="4">
        <v>46129</v>
      </c>
      <c r="B198" s="1" t="s">
        <v>37</v>
      </c>
      <c r="C198" s="7">
        <v>200</v>
      </c>
      <c r="D198" s="1" t="s">
        <v>237</v>
      </c>
    </row>
    <row r="199" spans="1:8" x14ac:dyDescent="0.35">
      <c r="A199" s="4">
        <v>46129</v>
      </c>
      <c r="B199" s="1" t="s">
        <v>30</v>
      </c>
      <c r="C199" s="7">
        <v>180</v>
      </c>
      <c r="D199" s="1" t="s">
        <v>238</v>
      </c>
    </row>
    <row r="200" spans="1:8" x14ac:dyDescent="0.35">
      <c r="A200" s="4">
        <v>46129</v>
      </c>
      <c r="B200" s="1" t="s">
        <v>5</v>
      </c>
      <c r="C200" s="7">
        <v>30</v>
      </c>
      <c r="D200" s="1" t="s">
        <v>239</v>
      </c>
    </row>
    <row r="201" spans="1:8" x14ac:dyDescent="0.35">
      <c r="A201" s="4">
        <v>46129</v>
      </c>
      <c r="B201" s="1" t="s">
        <v>28</v>
      </c>
      <c r="C201" s="7">
        <v>1040</v>
      </c>
      <c r="D201" s="1" t="s">
        <v>123</v>
      </c>
      <c r="H201" s="8"/>
    </row>
    <row r="202" spans="1:8" x14ac:dyDescent="0.35">
      <c r="A202" s="4">
        <v>46129</v>
      </c>
      <c r="B202" s="1" t="s">
        <v>5</v>
      </c>
      <c r="C202" s="7">
        <v>206</v>
      </c>
      <c r="D202" s="1" t="s">
        <v>240</v>
      </c>
      <c r="H202" s="8"/>
    </row>
    <row r="203" spans="1:8" x14ac:dyDescent="0.35">
      <c r="A203" s="4">
        <v>46129</v>
      </c>
      <c r="B203" s="1" t="s">
        <v>27</v>
      </c>
      <c r="C203" s="7">
        <v>5400</v>
      </c>
      <c r="D203" s="1" t="s">
        <v>241</v>
      </c>
    </row>
    <row r="204" spans="1:8" x14ac:dyDescent="0.35">
      <c r="A204" s="4">
        <v>46130</v>
      </c>
      <c r="B204" s="1" t="s">
        <v>26</v>
      </c>
      <c r="C204" s="7">
        <v>12300</v>
      </c>
      <c r="D204" s="1" t="s">
        <v>144</v>
      </c>
    </row>
    <row r="205" spans="1:8" x14ac:dyDescent="0.35">
      <c r="A205" s="4">
        <v>46130</v>
      </c>
      <c r="B205" s="1" t="s">
        <v>26</v>
      </c>
      <c r="C205" s="7">
        <v>150</v>
      </c>
      <c r="D205" s="1" t="s">
        <v>243</v>
      </c>
    </row>
    <row r="206" spans="1:8" x14ac:dyDescent="0.35">
      <c r="A206" s="4">
        <v>46130</v>
      </c>
      <c r="B206" s="1" t="s">
        <v>33</v>
      </c>
      <c r="C206" s="7">
        <v>2000</v>
      </c>
      <c r="D206" s="1" t="s">
        <v>242</v>
      </c>
    </row>
    <row r="207" spans="1:8" x14ac:dyDescent="0.35">
      <c r="A207" s="4">
        <v>46130</v>
      </c>
      <c r="B207" s="1" t="s">
        <v>23</v>
      </c>
      <c r="C207" s="7">
        <v>100000</v>
      </c>
      <c r="D207" s="1" t="s">
        <v>146</v>
      </c>
    </row>
    <row r="208" spans="1:8" x14ac:dyDescent="0.35">
      <c r="A208" s="4">
        <v>46130</v>
      </c>
      <c r="B208" s="1" t="s">
        <v>23</v>
      </c>
      <c r="C208" s="7">
        <v>100000</v>
      </c>
      <c r="D208" s="1" t="s">
        <v>117</v>
      </c>
    </row>
    <row r="209" spans="1:8" x14ac:dyDescent="0.35">
      <c r="A209" s="4">
        <v>46130</v>
      </c>
      <c r="B209" s="1" t="s">
        <v>30</v>
      </c>
      <c r="C209" s="7">
        <v>6000</v>
      </c>
      <c r="D209" s="1" t="s">
        <v>244</v>
      </c>
    </row>
    <row r="210" spans="1:8" x14ac:dyDescent="0.35">
      <c r="A210" s="4">
        <v>46130</v>
      </c>
      <c r="B210" s="1" t="s">
        <v>245</v>
      </c>
      <c r="C210" s="7">
        <v>2000</v>
      </c>
      <c r="D210" s="1" t="s">
        <v>246</v>
      </c>
    </row>
    <row r="211" spans="1:8" x14ac:dyDescent="0.35">
      <c r="A211" s="4">
        <v>46133</v>
      </c>
      <c r="B211" s="1" t="s">
        <v>30</v>
      </c>
      <c r="C211" s="7">
        <v>3000</v>
      </c>
      <c r="D211" s="1" t="s">
        <v>247</v>
      </c>
    </row>
    <row r="212" spans="1:8" x14ac:dyDescent="0.35">
      <c r="A212" s="4">
        <v>46134</v>
      </c>
      <c r="B212" s="1" t="s">
        <v>26</v>
      </c>
      <c r="C212" s="7">
        <v>15000</v>
      </c>
      <c r="D212" s="1" t="s">
        <v>248</v>
      </c>
    </row>
    <row r="213" spans="1:8" x14ac:dyDescent="0.35">
      <c r="A213" s="4">
        <v>46134</v>
      </c>
      <c r="B213" s="1" t="s">
        <v>27</v>
      </c>
      <c r="C213" s="7">
        <v>10000</v>
      </c>
      <c r="D213" s="1" t="s">
        <v>249</v>
      </c>
    </row>
    <row r="214" spans="1:8" x14ac:dyDescent="0.35">
      <c r="A214" s="4">
        <v>46136</v>
      </c>
      <c r="B214" s="1" t="s">
        <v>245</v>
      </c>
      <c r="C214" s="7">
        <v>2000</v>
      </c>
      <c r="D214" s="1" t="s">
        <v>246</v>
      </c>
    </row>
    <row r="215" spans="1:8" x14ac:dyDescent="0.35">
      <c r="A215" s="4">
        <v>46136</v>
      </c>
      <c r="B215" s="1" t="s">
        <v>37</v>
      </c>
      <c r="C215" s="7">
        <v>480</v>
      </c>
      <c r="D215" s="1" t="s">
        <v>250</v>
      </c>
    </row>
    <row r="216" spans="1:8" x14ac:dyDescent="0.35">
      <c r="A216" s="4">
        <v>46136</v>
      </c>
      <c r="B216" s="1" t="s">
        <v>24</v>
      </c>
      <c r="C216" s="7">
        <v>760</v>
      </c>
      <c r="D216" s="1" t="s">
        <v>251</v>
      </c>
    </row>
    <row r="217" spans="1:8" x14ac:dyDescent="0.35">
      <c r="A217" s="4">
        <v>46136</v>
      </c>
      <c r="B217" s="1" t="s">
        <v>28</v>
      </c>
      <c r="C217" s="7">
        <v>200</v>
      </c>
      <c r="D217" s="1" t="s">
        <v>252</v>
      </c>
    </row>
    <row r="218" spans="1:8" x14ac:dyDescent="0.35">
      <c r="A218" s="4">
        <v>46136</v>
      </c>
      <c r="B218" s="1" t="s">
        <v>30</v>
      </c>
      <c r="C218" s="7">
        <v>320</v>
      </c>
      <c r="D218" s="1" t="s">
        <v>253</v>
      </c>
    </row>
    <row r="219" spans="1:8" x14ac:dyDescent="0.35">
      <c r="A219" s="4">
        <v>46136</v>
      </c>
      <c r="B219" s="1" t="s">
        <v>5</v>
      </c>
      <c r="C219" s="7">
        <v>70</v>
      </c>
      <c r="D219" s="1" t="s">
        <v>239</v>
      </c>
    </row>
    <row r="220" spans="1:8" x14ac:dyDescent="0.35">
      <c r="A220" s="4">
        <v>46136</v>
      </c>
      <c r="B220" s="1" t="s">
        <v>5</v>
      </c>
      <c r="C220" s="7">
        <v>100</v>
      </c>
      <c r="D220" s="1" t="s">
        <v>254</v>
      </c>
    </row>
    <row r="221" spans="1:8" x14ac:dyDescent="0.35">
      <c r="A221" s="4">
        <v>46136</v>
      </c>
      <c r="B221" s="1" t="s">
        <v>24</v>
      </c>
      <c r="C221" s="7">
        <v>380</v>
      </c>
      <c r="D221" s="1" t="s">
        <v>189</v>
      </c>
    </row>
    <row r="222" spans="1:8" x14ac:dyDescent="0.35">
      <c r="A222" s="4">
        <v>46136</v>
      </c>
      <c r="B222" s="1" t="s">
        <v>20</v>
      </c>
      <c r="C222" s="8">
        <v>60</v>
      </c>
      <c r="D222" s="7" t="s">
        <v>255</v>
      </c>
    </row>
    <row r="223" spans="1:8" x14ac:dyDescent="0.35">
      <c r="A223" s="4">
        <v>46136</v>
      </c>
      <c r="B223" s="1" t="s">
        <v>5</v>
      </c>
      <c r="C223" s="7">
        <v>100</v>
      </c>
      <c r="D223" s="1" t="s">
        <v>201</v>
      </c>
    </row>
    <row r="224" spans="1:8" x14ac:dyDescent="0.35">
      <c r="A224" s="4">
        <v>46136</v>
      </c>
      <c r="B224" s="1" t="s">
        <v>28</v>
      </c>
      <c r="C224" s="7">
        <v>584</v>
      </c>
      <c r="D224" s="1" t="s">
        <v>256</v>
      </c>
      <c r="H224" s="8"/>
    </row>
    <row r="225" spans="1:4" x14ac:dyDescent="0.35">
      <c r="A225" s="4">
        <v>46137</v>
      </c>
      <c r="B225" s="1" t="s">
        <v>26</v>
      </c>
      <c r="C225" s="7">
        <v>23600</v>
      </c>
      <c r="D225" s="1" t="s">
        <v>144</v>
      </c>
    </row>
    <row r="226" spans="1:4" x14ac:dyDescent="0.35">
      <c r="A226" s="4">
        <v>46137</v>
      </c>
      <c r="B226" s="1" t="s">
        <v>26</v>
      </c>
      <c r="C226" s="7">
        <v>350</v>
      </c>
      <c r="D226" s="1" t="s">
        <v>257</v>
      </c>
    </row>
    <row r="227" spans="1:4" x14ac:dyDescent="0.35">
      <c r="A227" s="4">
        <v>46137</v>
      </c>
      <c r="B227" s="1" t="s">
        <v>27</v>
      </c>
      <c r="C227" s="7">
        <v>3875</v>
      </c>
      <c r="D227" s="1" t="s">
        <v>258</v>
      </c>
    </row>
    <row r="228" spans="1:4" x14ac:dyDescent="0.35">
      <c r="A228" s="4">
        <v>46137</v>
      </c>
      <c r="B228" s="1" t="s">
        <v>27</v>
      </c>
      <c r="C228" s="7">
        <v>250</v>
      </c>
      <c r="D228" s="1" t="s">
        <v>259</v>
      </c>
    </row>
    <row r="229" spans="1:4" x14ac:dyDescent="0.35">
      <c r="A229" s="4">
        <v>46137</v>
      </c>
      <c r="B229" s="1" t="s">
        <v>27</v>
      </c>
      <c r="C229" s="7">
        <v>250</v>
      </c>
      <c r="D229" s="1" t="s">
        <v>260</v>
      </c>
    </row>
    <row r="230" spans="1:4" x14ac:dyDescent="0.35">
      <c r="A230" s="4">
        <v>46137</v>
      </c>
      <c r="B230" s="1" t="s">
        <v>31</v>
      </c>
      <c r="C230" s="7">
        <v>14000</v>
      </c>
      <c r="D230" s="1" t="s">
        <v>261</v>
      </c>
    </row>
    <row r="231" spans="1:4" x14ac:dyDescent="0.35">
      <c r="A231" s="4">
        <v>46137</v>
      </c>
      <c r="B231" s="1" t="s">
        <v>23</v>
      </c>
      <c r="C231" s="7">
        <v>35000</v>
      </c>
      <c r="D231" s="1" t="s">
        <v>148</v>
      </c>
    </row>
    <row r="232" spans="1:4" x14ac:dyDescent="0.35">
      <c r="A232" s="4">
        <v>46137</v>
      </c>
      <c r="B232" s="1" t="s">
        <v>23</v>
      </c>
      <c r="C232" s="7">
        <v>23750</v>
      </c>
      <c r="D232" s="1" t="s">
        <v>214</v>
      </c>
    </row>
    <row r="233" spans="1:4" x14ac:dyDescent="0.35">
      <c r="A233" s="4">
        <v>46140</v>
      </c>
      <c r="B233" s="1" t="s">
        <v>245</v>
      </c>
      <c r="C233" s="7">
        <v>2000</v>
      </c>
      <c r="D233" s="1" t="s">
        <v>246</v>
      </c>
    </row>
    <row r="234" spans="1:4" x14ac:dyDescent="0.35">
      <c r="A234" s="4">
        <v>46144</v>
      </c>
      <c r="B234" s="1" t="s">
        <v>26</v>
      </c>
      <c r="C234" s="7">
        <v>40350</v>
      </c>
      <c r="D234" s="1" t="s">
        <v>144</v>
      </c>
    </row>
    <row r="235" spans="1:4" x14ac:dyDescent="0.35">
      <c r="A235" s="4">
        <v>46144</v>
      </c>
      <c r="B235" s="1" t="s">
        <v>23</v>
      </c>
      <c r="C235" s="7">
        <v>120200</v>
      </c>
      <c r="D235" s="1" t="s">
        <v>262</v>
      </c>
    </row>
    <row r="236" spans="1:4" x14ac:dyDescent="0.35">
      <c r="A236" s="4">
        <v>46144</v>
      </c>
      <c r="B236" s="1" t="s">
        <v>23</v>
      </c>
      <c r="C236" s="7">
        <v>20000</v>
      </c>
      <c r="D236" s="1" t="s">
        <v>214</v>
      </c>
    </row>
    <row r="237" spans="1:4" x14ac:dyDescent="0.35">
      <c r="A237" s="4">
        <v>46144</v>
      </c>
      <c r="B237" s="1" t="s">
        <v>23</v>
      </c>
      <c r="C237" s="7">
        <v>10000</v>
      </c>
      <c r="D237" s="1" t="s">
        <v>263</v>
      </c>
    </row>
    <row r="238" spans="1:4" x14ac:dyDescent="0.35">
      <c r="A238" s="4">
        <v>46146</v>
      </c>
      <c r="B238" s="1" t="s">
        <v>98</v>
      </c>
      <c r="C238" s="7">
        <v>60000</v>
      </c>
      <c r="D238" s="1" t="s">
        <v>78</v>
      </c>
    </row>
    <row r="239" spans="1:4" x14ac:dyDescent="0.35">
      <c r="A239" s="4">
        <v>45753</v>
      </c>
      <c r="B239" s="1" t="s">
        <v>27</v>
      </c>
      <c r="C239" s="7">
        <v>10000</v>
      </c>
      <c r="D239" s="1" t="s">
        <v>264</v>
      </c>
    </row>
    <row r="240" spans="1:4" x14ac:dyDescent="0.35">
      <c r="A240" s="4">
        <v>46118</v>
      </c>
      <c r="B240" s="1" t="s">
        <v>26</v>
      </c>
      <c r="C240" s="7">
        <v>10000</v>
      </c>
      <c r="D240" s="1" t="s">
        <v>165</v>
      </c>
    </row>
    <row r="241" spans="1:4" x14ac:dyDescent="0.35">
      <c r="A241" s="4">
        <v>46149</v>
      </c>
      <c r="B241" s="1" t="s">
        <v>28</v>
      </c>
      <c r="C241" s="7">
        <v>1128</v>
      </c>
      <c r="D241" s="1" t="s">
        <v>265</v>
      </c>
    </row>
    <row r="242" spans="1:4" x14ac:dyDescent="0.35">
      <c r="A242" s="4">
        <v>46151</v>
      </c>
      <c r="B242" s="27" t="s">
        <v>26</v>
      </c>
      <c r="C242" s="7">
        <v>54225</v>
      </c>
      <c r="D242" s="27" t="s">
        <v>172</v>
      </c>
    </row>
    <row r="243" spans="1:4" x14ac:dyDescent="0.35">
      <c r="A243" s="4">
        <v>46151</v>
      </c>
      <c r="B243" s="27" t="s">
        <v>26</v>
      </c>
      <c r="C243" s="7">
        <v>500</v>
      </c>
      <c r="D243" s="27" t="s">
        <v>257</v>
      </c>
    </row>
    <row r="244" spans="1:4" x14ac:dyDescent="0.35">
      <c r="A244" s="4">
        <v>46151</v>
      </c>
      <c r="B244" s="27" t="s">
        <v>27</v>
      </c>
      <c r="C244" s="7">
        <v>20000</v>
      </c>
      <c r="D244" s="27" t="s">
        <v>266</v>
      </c>
    </row>
    <row r="307" spans="6:6" x14ac:dyDescent="0.35">
      <c r="F307" s="8"/>
    </row>
  </sheetData>
  <autoFilter ref="A1:D85" xr:uid="{E716AC5E-A74E-4151-8738-1C2F14C945B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1A9EA4-211D-4619-B47C-CA890DA4CB44}">
          <x14:formula1>
            <xm:f>DataSource!$A$2:$A$32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BCE5-B96F-4712-AB29-EC927D996659}">
  <dimension ref="A2:A31"/>
  <sheetViews>
    <sheetView topLeftCell="A13" workbookViewId="0">
      <selection activeCell="A24" sqref="A24:A31"/>
    </sheetView>
  </sheetViews>
  <sheetFormatPr defaultRowHeight="14.5" x14ac:dyDescent="0.35"/>
  <cols>
    <col min="1" max="1" width="20.54296875" bestFit="1" customWidth="1"/>
  </cols>
  <sheetData>
    <row r="2" spans="1:1" x14ac:dyDescent="0.35">
      <c r="A2" s="1" t="s">
        <v>20</v>
      </c>
    </row>
    <row r="3" spans="1:1" x14ac:dyDescent="0.35">
      <c r="A3" s="1" t="s">
        <v>21</v>
      </c>
    </row>
    <row r="4" spans="1:1" x14ac:dyDescent="0.35">
      <c r="A4" s="1" t="s">
        <v>23</v>
      </c>
    </row>
    <row r="5" spans="1:1" x14ac:dyDescent="0.35">
      <c r="A5" s="1" t="s">
        <v>45</v>
      </c>
    </row>
    <row r="6" spans="1:1" x14ac:dyDescent="0.35">
      <c r="A6" s="1" t="s">
        <v>46</v>
      </c>
    </row>
    <row r="7" spans="1:1" x14ac:dyDescent="0.35">
      <c r="A7" s="1" t="s">
        <v>26</v>
      </c>
    </row>
    <row r="8" spans="1:1" x14ac:dyDescent="0.35">
      <c r="A8" s="1" t="s">
        <v>31</v>
      </c>
    </row>
    <row r="9" spans="1:1" x14ac:dyDescent="0.35">
      <c r="A9" s="1" t="s">
        <v>27</v>
      </c>
    </row>
    <row r="10" spans="1:1" x14ac:dyDescent="0.35">
      <c r="A10" s="1" t="s">
        <v>33</v>
      </c>
    </row>
    <row r="11" spans="1:1" x14ac:dyDescent="0.35">
      <c r="A11" s="1" t="s">
        <v>34</v>
      </c>
    </row>
    <row r="12" spans="1:1" x14ac:dyDescent="0.35">
      <c r="A12" s="1" t="s">
        <v>35</v>
      </c>
    </row>
    <row r="13" spans="1:1" x14ac:dyDescent="0.35">
      <c r="A13" s="1" t="s">
        <v>22</v>
      </c>
    </row>
    <row r="14" spans="1:1" x14ac:dyDescent="0.35">
      <c r="A14" s="1" t="s">
        <v>29</v>
      </c>
    </row>
    <row r="15" spans="1:1" x14ac:dyDescent="0.35">
      <c r="A15" s="1" t="s">
        <v>28</v>
      </c>
    </row>
    <row r="16" spans="1:1" x14ac:dyDescent="0.35">
      <c r="A16" s="1" t="s">
        <v>5</v>
      </c>
    </row>
    <row r="17" spans="1:1" x14ac:dyDescent="0.35">
      <c r="A17" s="1" t="s">
        <v>10</v>
      </c>
    </row>
    <row r="18" spans="1:1" x14ac:dyDescent="0.35">
      <c r="A18" s="1" t="s">
        <v>30</v>
      </c>
    </row>
    <row r="19" spans="1:1" x14ac:dyDescent="0.35">
      <c r="A19" s="1" t="s">
        <v>36</v>
      </c>
    </row>
    <row r="20" spans="1:1" x14ac:dyDescent="0.35">
      <c r="A20" s="1" t="s">
        <v>37</v>
      </c>
    </row>
    <row r="21" spans="1:1" x14ac:dyDescent="0.35">
      <c r="A21" s="1" t="s">
        <v>24</v>
      </c>
    </row>
    <row r="22" spans="1:1" x14ac:dyDescent="0.35">
      <c r="A22" s="1" t="s">
        <v>32</v>
      </c>
    </row>
    <row r="23" spans="1:1" x14ac:dyDescent="0.35">
      <c r="A23" s="1" t="s">
        <v>38</v>
      </c>
    </row>
    <row r="24" spans="1:1" x14ac:dyDescent="0.35">
      <c r="A24" s="1" t="s">
        <v>39</v>
      </c>
    </row>
    <row r="25" spans="1:1" x14ac:dyDescent="0.35">
      <c r="A25" s="1" t="s">
        <v>47</v>
      </c>
    </row>
    <row r="26" spans="1:1" x14ac:dyDescent="0.35">
      <c r="A26" s="1" t="s">
        <v>48</v>
      </c>
    </row>
    <row r="27" spans="1:1" x14ac:dyDescent="0.35">
      <c r="A27" s="1" t="s">
        <v>66</v>
      </c>
    </row>
    <row r="28" spans="1:1" x14ac:dyDescent="0.35">
      <c r="A28" s="1" t="s">
        <v>86</v>
      </c>
    </row>
    <row r="29" spans="1:1" x14ac:dyDescent="0.35">
      <c r="A29" s="1" t="s">
        <v>98</v>
      </c>
    </row>
    <row r="30" spans="1:1" x14ac:dyDescent="0.35">
      <c r="A30" s="1" t="s">
        <v>167</v>
      </c>
    </row>
    <row r="31" spans="1:1" x14ac:dyDescent="0.35">
      <c r="A31" s="1" t="s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D36-3AAD-4012-B629-BC62E5C1A2B7}">
  <dimension ref="A1:K23"/>
  <sheetViews>
    <sheetView workbookViewId="0">
      <selection activeCell="B18" sqref="B18"/>
    </sheetView>
  </sheetViews>
  <sheetFormatPr defaultRowHeight="14.5" x14ac:dyDescent="0.35"/>
  <cols>
    <col min="1" max="1" width="19.453125" bestFit="1" customWidth="1"/>
    <col min="2" max="2" width="13" bestFit="1" customWidth="1"/>
    <col min="4" max="4" width="19.453125" bestFit="1" customWidth="1"/>
    <col min="5" max="5" width="13" bestFit="1" customWidth="1"/>
    <col min="7" max="7" width="16.7265625" bestFit="1" customWidth="1"/>
    <col min="8" max="8" width="13" bestFit="1" customWidth="1"/>
    <col min="10" max="10" width="10.7265625" bestFit="1" customWidth="1"/>
    <col min="11" max="11" width="13" bestFit="1" customWidth="1"/>
  </cols>
  <sheetData>
    <row r="1" spans="1:11" x14ac:dyDescent="0.35">
      <c r="D1" t="s">
        <v>40</v>
      </c>
      <c r="G1" t="s">
        <v>41</v>
      </c>
      <c r="J1" t="s">
        <v>42</v>
      </c>
    </row>
    <row r="3" spans="1:11" x14ac:dyDescent="0.35">
      <c r="A3" s="16" t="s">
        <v>25</v>
      </c>
      <c r="B3" s="1" t="s">
        <v>18</v>
      </c>
      <c r="D3" s="16" t="s">
        <v>25</v>
      </c>
      <c r="E3" s="1" t="s">
        <v>18</v>
      </c>
      <c r="G3" s="16" t="s">
        <v>25</v>
      </c>
      <c r="H3" s="1" t="s">
        <v>18</v>
      </c>
      <c r="J3" s="16" t="s">
        <v>25</v>
      </c>
      <c r="K3" s="1" t="s">
        <v>18</v>
      </c>
    </row>
    <row r="4" spans="1:11" x14ac:dyDescent="0.35">
      <c r="A4" s="15" t="s">
        <v>23</v>
      </c>
      <c r="B4" s="19">
        <v>2627400</v>
      </c>
      <c r="D4" s="15" t="s">
        <v>23</v>
      </c>
      <c r="E4" s="19">
        <v>2627400</v>
      </c>
      <c r="G4" s="15" t="s">
        <v>10</v>
      </c>
      <c r="H4" s="19">
        <v>179700</v>
      </c>
      <c r="J4" s="10" t="s">
        <v>13</v>
      </c>
      <c r="K4" s="20"/>
    </row>
    <row r="5" spans="1:11" x14ac:dyDescent="0.35">
      <c r="A5" s="15" t="s">
        <v>21</v>
      </c>
      <c r="B5" s="19">
        <v>200</v>
      </c>
      <c r="D5" s="15" t="s">
        <v>21</v>
      </c>
      <c r="E5" s="19">
        <v>200</v>
      </c>
      <c r="G5" s="15" t="s">
        <v>26</v>
      </c>
      <c r="H5" s="19">
        <v>520940</v>
      </c>
    </row>
    <row r="6" spans="1:11" x14ac:dyDescent="0.35">
      <c r="A6" s="15" t="s">
        <v>10</v>
      </c>
      <c r="B6" s="19">
        <v>179700</v>
      </c>
      <c r="D6" s="15" t="s">
        <v>20</v>
      </c>
      <c r="E6" s="19">
        <v>21860</v>
      </c>
      <c r="G6" s="15" t="s">
        <v>27</v>
      </c>
      <c r="H6" s="19">
        <v>581775</v>
      </c>
    </row>
    <row r="7" spans="1:11" x14ac:dyDescent="0.35">
      <c r="A7" s="15" t="s">
        <v>20</v>
      </c>
      <c r="B7" s="19">
        <v>21860</v>
      </c>
      <c r="D7" s="10" t="s">
        <v>13</v>
      </c>
      <c r="E7" s="20">
        <v>2649460</v>
      </c>
      <c r="G7" s="15" t="s">
        <v>31</v>
      </c>
      <c r="H7" s="19">
        <v>173600</v>
      </c>
    </row>
    <row r="8" spans="1:11" x14ac:dyDescent="0.35">
      <c r="A8" s="15" t="s">
        <v>24</v>
      </c>
      <c r="B8" s="19">
        <v>3600</v>
      </c>
      <c r="G8" s="10" t="s">
        <v>13</v>
      </c>
      <c r="H8" s="20">
        <v>1456015</v>
      </c>
    </row>
    <row r="9" spans="1:11" x14ac:dyDescent="0.35">
      <c r="A9" s="15" t="s">
        <v>5</v>
      </c>
      <c r="B9" s="19">
        <v>83826</v>
      </c>
    </row>
    <row r="10" spans="1:11" x14ac:dyDescent="0.35">
      <c r="A10" s="15" t="s">
        <v>26</v>
      </c>
      <c r="B10" s="19">
        <v>520940</v>
      </c>
    </row>
    <row r="11" spans="1:11" x14ac:dyDescent="0.35">
      <c r="A11" s="15" t="s">
        <v>27</v>
      </c>
      <c r="B11" s="19">
        <v>581775</v>
      </c>
    </row>
    <row r="12" spans="1:11" x14ac:dyDescent="0.35">
      <c r="A12" s="15" t="s">
        <v>28</v>
      </c>
      <c r="B12" s="19">
        <v>11354</v>
      </c>
    </row>
    <row r="13" spans="1:11" x14ac:dyDescent="0.35">
      <c r="A13" s="15" t="s">
        <v>31</v>
      </c>
      <c r="B13" s="19">
        <v>173600</v>
      </c>
    </row>
    <row r="14" spans="1:11" x14ac:dyDescent="0.35">
      <c r="A14" s="15" t="s">
        <v>30</v>
      </c>
      <c r="B14" s="19">
        <v>9990</v>
      </c>
    </row>
    <row r="15" spans="1:11" x14ac:dyDescent="0.35">
      <c r="A15" s="15" t="s">
        <v>32</v>
      </c>
      <c r="B15" s="19">
        <v>7200</v>
      </c>
    </row>
    <row r="16" spans="1:11" x14ac:dyDescent="0.35">
      <c r="A16" s="15" t="s">
        <v>37</v>
      </c>
      <c r="B16" s="19">
        <v>3360</v>
      </c>
    </row>
    <row r="17" spans="1:2" x14ac:dyDescent="0.35">
      <c r="A17" s="15" t="s">
        <v>33</v>
      </c>
      <c r="B17" s="19">
        <v>10000</v>
      </c>
    </row>
    <row r="18" spans="1:2" x14ac:dyDescent="0.35">
      <c r="A18" s="15" t="s">
        <v>66</v>
      </c>
      <c r="B18" s="19">
        <v>10500</v>
      </c>
    </row>
    <row r="19" spans="1:2" x14ac:dyDescent="0.35">
      <c r="A19" s="15" t="s">
        <v>86</v>
      </c>
      <c r="B19" s="19">
        <v>15000</v>
      </c>
    </row>
    <row r="20" spans="1:2" x14ac:dyDescent="0.35">
      <c r="A20" s="15" t="s">
        <v>98</v>
      </c>
      <c r="B20" s="19">
        <v>200000</v>
      </c>
    </row>
    <row r="21" spans="1:2" x14ac:dyDescent="0.35">
      <c r="A21" s="15" t="s">
        <v>167</v>
      </c>
      <c r="B21" s="19">
        <v>1750</v>
      </c>
    </row>
    <row r="22" spans="1:2" x14ac:dyDescent="0.35">
      <c r="A22" s="15" t="s">
        <v>245</v>
      </c>
      <c r="B22" s="19">
        <v>6000</v>
      </c>
    </row>
    <row r="23" spans="1:2" x14ac:dyDescent="0.35">
      <c r="A23" s="10" t="s">
        <v>13</v>
      </c>
      <c r="B23" s="20">
        <v>4468055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101D-E46C-4C9D-BBC1-7A183001E142}">
  <dimension ref="A1:D7"/>
  <sheetViews>
    <sheetView workbookViewId="0">
      <selection activeCell="A3" sqref="A3:D7"/>
    </sheetView>
  </sheetViews>
  <sheetFormatPr defaultRowHeight="14.5" x14ac:dyDescent="0.35"/>
  <cols>
    <col min="1" max="1" width="10.08984375" bestFit="1" customWidth="1"/>
    <col min="2" max="2" width="17.81640625" bestFit="1" customWidth="1"/>
    <col min="3" max="3" width="10.90625" bestFit="1" customWidth="1"/>
    <col min="4" max="4" width="42.08984375" bestFit="1" customWidth="1"/>
  </cols>
  <sheetData>
    <row r="1" spans="1:4" x14ac:dyDescent="0.35">
      <c r="A1" s="14" t="s">
        <v>16</v>
      </c>
    </row>
    <row r="3" spans="1:4" x14ac:dyDescent="0.35">
      <c r="A3" t="s">
        <v>0</v>
      </c>
      <c r="B3" t="s">
        <v>4</v>
      </c>
      <c r="C3" t="s">
        <v>1</v>
      </c>
      <c r="D3" t="s">
        <v>3</v>
      </c>
    </row>
    <row r="4" spans="1:4" x14ac:dyDescent="0.35">
      <c r="A4" s="13">
        <v>45793</v>
      </c>
      <c r="B4" t="s">
        <v>9</v>
      </c>
      <c r="C4">
        <v>23900</v>
      </c>
      <c r="D4" t="s">
        <v>15</v>
      </c>
    </row>
    <row r="5" spans="1:4" x14ac:dyDescent="0.35">
      <c r="A5" s="13">
        <v>45783</v>
      </c>
      <c r="B5" t="s">
        <v>9</v>
      </c>
      <c r="C5">
        <v>5000</v>
      </c>
      <c r="D5" t="s">
        <v>12</v>
      </c>
    </row>
    <row r="6" spans="1:4" x14ac:dyDescent="0.35">
      <c r="A6" s="13">
        <v>45781</v>
      </c>
      <c r="B6" t="s">
        <v>9</v>
      </c>
      <c r="C6">
        <v>75000</v>
      </c>
      <c r="D6" t="s">
        <v>11</v>
      </c>
    </row>
    <row r="7" spans="1:4" x14ac:dyDescent="0.35">
      <c r="A7" s="13">
        <v>45777</v>
      </c>
      <c r="B7" t="s">
        <v>9</v>
      </c>
      <c r="C7">
        <v>5000</v>
      </c>
      <c r="D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Received</vt:lpstr>
      <vt:lpstr>Expenses</vt:lpstr>
      <vt:lpstr>DataSource</vt:lpstr>
      <vt:lpstr>Overview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</dc:creator>
  <cp:lastModifiedBy>Tamilselvan Jayabalan</cp:lastModifiedBy>
  <dcterms:created xsi:type="dcterms:W3CDTF">2015-06-05T18:17:20Z</dcterms:created>
  <dcterms:modified xsi:type="dcterms:W3CDTF">2026-05-09T12:11:24Z</dcterms:modified>
</cp:coreProperties>
</file>