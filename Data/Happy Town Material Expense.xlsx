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72b42a7a1256b2/Desktop/Business/TSK Constructions/Projects/Building Construction/Happy Town - Sulur/Accounts/"/>
    </mc:Choice>
  </mc:AlternateContent>
  <xr:revisionPtr revIDLastSave="386" documentId="13_ncr:1_{FE593903-E758-44D3-AFD8-C796D57071E9}" xr6:coauthVersionLast="47" xr6:coauthVersionMax="47" xr10:uidLastSave="{AEA055B7-9589-41A5-8BC5-1F6FA84ED413}"/>
  <bookViews>
    <workbookView xWindow="-110" yWindow="-110" windowWidth="19420" windowHeight="11500" firstSheet="1" activeTab="4" xr2:uid="{00000000-000D-0000-FFFF-FFFF00000000}"/>
  </bookViews>
  <sheets>
    <sheet name="Material Details" sheetId="1" r:id="rId1"/>
    <sheet name="Reference Table" sheetId="9" r:id="rId2"/>
    <sheet name="Materials Total QTY" sheetId="8" r:id="rId3"/>
    <sheet name="Vendor Balance Sheet" sheetId="5" r:id="rId4"/>
    <sheet name="Payment Details" sheetId="2" r:id="rId5"/>
  </sheets>
  <definedNames>
    <definedName name="_xlnm._FilterDatabase" localSheetId="0" hidden="1">'Material Details'!$A$1:$H$35</definedName>
    <definedName name="_xlnm._FilterDatabase" localSheetId="4" hidden="1">'Payment Details'!$A$1:$F$24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8" l="1"/>
  <c r="D4" i="8"/>
  <c r="D5" i="8"/>
  <c r="D6" i="8"/>
  <c r="D7" i="8"/>
  <c r="D8" i="8"/>
  <c r="D9" i="8"/>
  <c r="D10" i="8"/>
  <c r="D11" i="8"/>
  <c r="D12" i="8"/>
  <c r="D13" i="8"/>
  <c r="D14" i="8"/>
  <c r="D2" i="8"/>
  <c r="H77" i="1"/>
  <c r="H76" i="1"/>
  <c r="H75" i="1"/>
  <c r="H74" i="1"/>
  <c r="H71" i="1"/>
  <c r="H70" i="1"/>
  <c r="H69" i="1"/>
  <c r="H66" i="1"/>
  <c r="H68" i="1"/>
  <c r="H67" i="1"/>
  <c r="H64" i="1"/>
  <c r="H63" i="1"/>
  <c r="H57" i="1"/>
  <c r="H61" i="1"/>
  <c r="H60" i="1"/>
  <c r="H58" i="1"/>
  <c r="H55" i="1"/>
  <c r="H54" i="1"/>
  <c r="H53" i="1"/>
  <c r="H52" i="1"/>
  <c r="H51" i="1"/>
  <c r="H50" i="1"/>
  <c r="H47" i="1"/>
  <c r="H46" i="1"/>
  <c r="H45" i="1"/>
  <c r="H42" i="1"/>
  <c r="H41" i="1"/>
  <c r="H40" i="1"/>
  <c r="H38" i="1"/>
  <c r="H37" i="1"/>
  <c r="H36" i="1"/>
  <c r="H35" i="1"/>
  <c r="F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" i="1"/>
  <c r="F4" i="1"/>
  <c r="H33" i="1" l="1"/>
  <c r="H32" i="1"/>
  <c r="F35" i="1"/>
  <c r="F36" i="1"/>
  <c r="F37" i="1"/>
  <c r="F38" i="1"/>
  <c r="F40" i="1"/>
  <c r="F41" i="1"/>
  <c r="F42" i="1"/>
  <c r="F44" i="1"/>
  <c r="F45" i="1"/>
  <c r="F46" i="1"/>
  <c r="F47" i="1"/>
  <c r="F50" i="1"/>
  <c r="F51" i="1"/>
  <c r="F52" i="1"/>
  <c r="H31" i="1"/>
  <c r="H30" i="1"/>
  <c r="H29" i="1"/>
  <c r="H28" i="1"/>
  <c r="H27" i="1"/>
  <c r="H26" i="1"/>
  <c r="H25" i="1"/>
  <c r="H21" i="1"/>
  <c r="H24" i="1"/>
  <c r="H23" i="1"/>
  <c r="H22" i="1"/>
  <c r="H20" i="1"/>
  <c r="H19" i="1"/>
  <c r="H18" i="1"/>
  <c r="H17" i="1"/>
  <c r="H16" i="1"/>
  <c r="A2" i="8" a="1"/>
  <c r="H13" i="1"/>
  <c r="A2" i="5" a="1"/>
  <c r="B11" i="5" l="1"/>
  <c r="C11" i="5"/>
  <c r="A2" i="8"/>
  <c r="B2" i="8" s="1"/>
  <c r="B10" i="8"/>
  <c r="B11" i="8"/>
  <c r="B12" i="8"/>
  <c r="B13" i="8"/>
  <c r="B14" i="8"/>
  <c r="C10" i="5"/>
  <c r="B10" i="5"/>
  <c r="C9" i="5"/>
  <c r="B9" i="5"/>
  <c r="B8" i="5"/>
  <c r="C8" i="5"/>
  <c r="C6" i="5"/>
  <c r="C7" i="5"/>
  <c r="B7" i="5"/>
  <c r="B6" i="5"/>
  <c r="B9" i="8"/>
  <c r="B8" i="8"/>
  <c r="B7" i="8"/>
  <c r="B6" i="8"/>
  <c r="B5" i="8"/>
  <c r="B4" i="8"/>
  <c r="B3" i="8"/>
  <c r="A2" i="5"/>
  <c r="C5" i="5"/>
  <c r="B5" i="5"/>
  <c r="D11" i="5" l="1"/>
  <c r="D10" i="5"/>
  <c r="D9" i="5"/>
  <c r="D8" i="5"/>
  <c r="D6" i="5"/>
  <c r="D7" i="5"/>
  <c r="D5" i="5"/>
  <c r="H12" i="1" l="1"/>
  <c r="H3" i="1"/>
  <c r="H2" i="1"/>
  <c r="H8" i="1"/>
  <c r="H9" i="1"/>
  <c r="H10" i="1"/>
  <c r="H11" i="1"/>
  <c r="C3" i="5"/>
  <c r="H6" i="1"/>
  <c r="H7" i="1"/>
  <c r="H5" i="1"/>
  <c r="C4" i="5" l="1"/>
  <c r="B3" i="5"/>
  <c r="D3" i="5" s="1"/>
  <c r="B4" i="5"/>
  <c r="C2" i="5" l="1"/>
  <c r="B2" i="5"/>
  <c r="D4" i="5"/>
  <c r="D2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<sst xmlns="http://schemas.openxmlformats.org/spreadsheetml/2006/main" count="437" uniqueCount="83">
  <si>
    <t>DATE</t>
  </si>
  <si>
    <t>CATEGORY</t>
  </si>
  <si>
    <t>COMPANY</t>
  </si>
  <si>
    <t>DEALER</t>
  </si>
  <si>
    <t>QTY</t>
  </si>
  <si>
    <t>RATE</t>
  </si>
  <si>
    <t>AMOUNT PAID</t>
  </si>
  <si>
    <t>MODE OF PAYMENT</t>
  </si>
  <si>
    <t>TOTAL BILL AMOUNT</t>
  </si>
  <si>
    <t>MEASURING IN</t>
  </si>
  <si>
    <t>DESCRPTION</t>
  </si>
  <si>
    <t>STEEL</t>
  </si>
  <si>
    <t>JSW</t>
  </si>
  <si>
    <t>KG</t>
  </si>
  <si>
    <t>CEMENT</t>
  </si>
  <si>
    <t>BAGS</t>
  </si>
  <si>
    <t>NOS</t>
  </si>
  <si>
    <t>RSK</t>
  </si>
  <si>
    <t>UNITS</t>
  </si>
  <si>
    <t>M-SAND</t>
  </si>
  <si>
    <t>VIZAG</t>
  </si>
  <si>
    <t>40 MM METAL</t>
  </si>
  <si>
    <t>PALANI MURUGAN</t>
  </si>
  <si>
    <t>20 MM JALLY</t>
  </si>
  <si>
    <t>BRICK-FLYASH</t>
  </si>
  <si>
    <t>VENDOR NAME</t>
  </si>
  <si>
    <t>TOTAL AMOUNT PAID</t>
  </si>
  <si>
    <t>BALANCE AMOUNT</t>
  </si>
  <si>
    <t>SUSSHANT</t>
  </si>
  <si>
    <t>COROMANDEL</t>
  </si>
  <si>
    <t>GST BILL</t>
  </si>
  <si>
    <t>ACC</t>
  </si>
  <si>
    <t>YES</t>
  </si>
  <si>
    <t>50 bags JSW Cement</t>
  </si>
  <si>
    <t>P-SAND</t>
  </si>
  <si>
    <t>Steel Part Payment</t>
  </si>
  <si>
    <t>MATERIALS</t>
  </si>
  <si>
    <t>NO</t>
  </si>
  <si>
    <t>Cement Payment 100 bags</t>
  </si>
  <si>
    <t>Paid pending steel Amount</t>
  </si>
  <si>
    <t>60 bags JSW</t>
  </si>
  <si>
    <t>Part payment</t>
  </si>
  <si>
    <t>OGUN</t>
  </si>
  <si>
    <t>VASANTHAM AGENCIES</t>
  </si>
  <si>
    <t>Steel Payment Belt Beam</t>
  </si>
  <si>
    <t>CASH</t>
  </si>
  <si>
    <t>Steel Patment Belt Beam</t>
  </si>
  <si>
    <t>GRAVEL</t>
  </si>
  <si>
    <t>Cement Payment 60 bags</t>
  </si>
  <si>
    <t>SALEM FLYASH</t>
  </si>
  <si>
    <t>10000 nos 7.2RS = 72000</t>
  </si>
  <si>
    <t>Cement Part Payment</t>
  </si>
  <si>
    <t>Cement old bal</t>
  </si>
  <si>
    <t>FERRON</t>
  </si>
  <si>
    <t>AK STEELS</t>
  </si>
  <si>
    <t>DALMIA</t>
  </si>
  <si>
    <t>Roof steel payment</t>
  </si>
  <si>
    <t>Cement 50*295 JSW</t>
  </si>
  <si>
    <t>MAHA</t>
  </si>
  <si>
    <t>Cement Pending</t>
  </si>
  <si>
    <t>Steel payment Roof</t>
  </si>
  <si>
    <t>ELECTRICAL</t>
  </si>
  <si>
    <t>PLUMBING</t>
  </si>
  <si>
    <t>RAMDEV HARDWARES</t>
  </si>
  <si>
    <t xml:space="preserve">GF Roof Pipe </t>
  </si>
  <si>
    <t>SOLID BLOCKS</t>
  </si>
  <si>
    <t>SV TRADERS</t>
  </si>
  <si>
    <t>Pending Amount</t>
  </si>
  <si>
    <t>Closed</t>
  </si>
  <si>
    <t>PAINTING</t>
  </si>
  <si>
    <t>NV ASSOCIATES</t>
  </si>
  <si>
    <t>BABY CHIPS</t>
  </si>
  <si>
    <t>UPI</t>
  </si>
  <si>
    <t>Paid by SK Deepa</t>
  </si>
  <si>
    <t>Solid block part Payment</t>
  </si>
  <si>
    <t>Cement Payment</t>
  </si>
  <si>
    <t>Solid block payment</t>
  </si>
  <si>
    <t>Wire</t>
  </si>
  <si>
    <t>Wire part payment</t>
  </si>
  <si>
    <t>CHAKRA TRADERS</t>
  </si>
  <si>
    <t>Pending payment</t>
  </si>
  <si>
    <t>Cement Transfer to Ganapathy Site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</si>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</sst>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[$₹-4009]\ #,##0.00;[Red][$₹-4009]\ #,##0.00"/>
    <numFmt numFmtId="166" formatCode="dd/mm/yy"/>
    <numFmt numFmtId="167" formatCode="&quot;₹&quot;\ #,##0.00;[Red]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166" fontId="1" fillId="0" borderId="1" xfId="0" applyNumberFormat="1" applyFont="1" applyBorder="1"/>
    <xf numFmtId="166" fontId="0" fillId="0" borderId="0" xfId="0" applyNumberFormat="1"/>
    <xf numFmtId="167" fontId="0" fillId="0" borderId="0" xfId="0" applyNumberFormat="1"/>
    <xf numFmtId="166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167" fontId="1" fillId="0" borderId="1" xfId="0" applyNumberFormat="1" applyFont="1" applyBorder="1"/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1" xfId="0" applyNumberFormat="1" applyBorder="1"/>
    <xf numFmtId="165" fontId="0" fillId="0" borderId="0" xfId="0" applyNumberFormat="1"/>
    <xf numFmtId="14" fontId="0" fillId="0" borderId="3" xfId="0" applyNumberFormat="1" applyBorder="1"/>
    <xf numFmtId="165" fontId="0" fillId="0" borderId="4" xfId="0" applyNumberFormat="1" applyBorder="1" applyAlignment="1">
      <alignment horizontal="center" vertical="center"/>
    </xf>
    <xf numFmtId="164" fontId="1" fillId="0" borderId="2" xfId="0" applyNumberFormat="1" applyFont="1" applyBorder="1"/>
    <xf numFmtId="0" fontId="1" fillId="0" borderId="2" xfId="0" applyFont="1" applyBorder="1"/>
    <xf numFmtId="167" fontId="1" fillId="0" borderId="2" xfId="0" applyNumberFormat="1" applyFont="1" applyBorder="1"/>
    <xf numFmtId="165" fontId="1" fillId="0" borderId="6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/>
    <xf numFmtId="14" fontId="0" fillId="0" borderId="0" xfId="0" applyNumberFormat="1"/>
    <xf numFmtId="0" fontId="0" fillId="0" borderId="7" xfId="0" applyFill="1" applyBorder="1"/>
  </cellXfs>
  <cellStyles count="1">
    <cellStyle name="Normal" xfId="0" builtinId="0"/>
  </cellStyles>
  <dxfs count="12">
    <dxf>
      <numFmt numFmtId="165" formatCode="[$₹-4009]\ #,##0.00;[Red][$₹-4009]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₹&quot;\ #,##0.00;[Red]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2E53F-6541-41FB-91C7-D7E8725F965D}" name="Table1" displayName="Table1" ref="A1:H34" totalsRowShown="0" headerRowDxfId="11" headerRowBorderDxfId="10" tableBorderDxfId="9" totalsRowBorderDxfId="8">
  <autoFilter ref="A1:H34" xr:uid="{67D2E53F-6541-41FB-91C7-D7E8725F965D}"/>
  <tableColumns count="8">
    <tableColumn id="1" xr3:uid="{894AC193-C6A5-4C4B-A650-854B8B2E2FAB}" name="DATE" dataDxfId="7"/>
    <tableColumn id="2" xr3:uid="{39DDB82A-D9C4-4F5B-AAB4-22268B47616D}" name="CATEGORY" dataDxfId="6"/>
    <tableColumn id="3" xr3:uid="{E7EA3319-6F63-4BA6-82DC-108B2281BE3E}" name="COMPANY" dataDxfId="5"/>
    <tableColumn id="4" xr3:uid="{40474BDB-09C6-4291-8485-88ED2DB327A8}" name="DEALER" dataDxfId="4"/>
    <tableColumn id="5" xr3:uid="{CB829E3A-9EC5-4D1D-9F28-E1792E266221}" name="QTY" dataDxfId="3"/>
    <tableColumn id="6" xr3:uid="{3D0C8E35-46C8-4969-B5E4-EEF0B5E60C92}" name="MEASURING IN" dataDxfId="2">
      <calculatedColumnFormula>IFERROR(VLOOKUP(B2,'Reference Table'!$A$2:$C$20,2,FALSE),"")</calculatedColumnFormula>
    </tableColumn>
    <tableColumn id="7" xr3:uid="{8BC22E42-A530-4286-9FB0-CE1683F233D7}" name="RATE" dataDxfId="1"/>
    <tableColumn id="8" xr3:uid="{DEF3EE7D-9E38-46F2-84D5-E88C61FE20E2}" name="TOTAL BILL AMOUN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opLeftCell="A57" workbookViewId="0">
      <selection activeCell="A70" sqref="A70:H77"/>
    </sheetView>
  </sheetViews>
  <sheetFormatPr defaultColWidth="25.26953125" defaultRowHeight="14.5" x14ac:dyDescent="0.35"/>
  <cols>
    <col min="1" max="1" width="10.08984375" style="20" bestFit="1" customWidth="1"/>
    <col min="2" max="2" width="13" bestFit="1" customWidth="1"/>
    <col min="3" max="3" width="13.08984375" bestFit="1" customWidth="1"/>
    <col min="4" max="4" width="20.54296875" bestFit="1" customWidth="1"/>
    <col min="5" max="5" width="6.81640625" bestFit="1" customWidth="1"/>
    <col min="6" max="6" width="15.7265625" bestFit="1" customWidth="1"/>
    <col min="7" max="7" width="9.26953125" style="4" bestFit="1" customWidth="1"/>
    <col min="8" max="8" width="22.90625" style="10" bestFit="1" customWidth="1"/>
  </cols>
  <sheetData>
    <row r="1" spans="1:10" x14ac:dyDescent="0.35">
      <c r="A1" s="19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9</v>
      </c>
      <c r="G1" s="17" t="s">
        <v>5</v>
      </c>
      <c r="H1" s="18" t="s">
        <v>8</v>
      </c>
    </row>
    <row r="2" spans="1:10" x14ac:dyDescent="0.35">
      <c r="A2" s="13">
        <v>45888</v>
      </c>
      <c r="B2" s="6" t="s">
        <v>19</v>
      </c>
      <c r="C2" s="6"/>
      <c r="D2" s="6" t="s">
        <v>17</v>
      </c>
      <c r="E2" s="6">
        <v>4</v>
      </c>
      <c r="F2" s="6" t="str">
        <f>IFERROR(VLOOKUP(B2,'Reference Table'!$A$2:$C$20,2,FALSE),"")</f>
        <v>UNITS</v>
      </c>
      <c r="G2" s="7">
        <v>5125</v>
      </c>
      <c r="H2" s="14">
        <f>E2*G2</f>
        <v>20500</v>
      </c>
      <c r="J2" s="12"/>
    </row>
    <row r="3" spans="1:10" x14ac:dyDescent="0.35">
      <c r="A3" s="13">
        <v>45888</v>
      </c>
      <c r="B3" s="6" t="s">
        <v>21</v>
      </c>
      <c r="C3" s="6"/>
      <c r="D3" s="6" t="s">
        <v>17</v>
      </c>
      <c r="E3" s="6">
        <v>4</v>
      </c>
      <c r="F3" s="6" t="str">
        <f>IFERROR(VLOOKUP(B3,'Reference Table'!$A$2:$C$20,2,FALSE),"")</f>
        <v>UNITS</v>
      </c>
      <c r="G3" s="7">
        <v>4450</v>
      </c>
      <c r="H3" s="14">
        <f>E3*G3</f>
        <v>17800</v>
      </c>
    </row>
    <row r="4" spans="1:10" x14ac:dyDescent="0.35">
      <c r="A4" s="13">
        <v>45888</v>
      </c>
      <c r="B4" s="6" t="s">
        <v>11</v>
      </c>
      <c r="C4" s="6" t="s">
        <v>20</v>
      </c>
      <c r="D4" s="6" t="s">
        <v>28</v>
      </c>
      <c r="E4" s="6">
        <v>1334</v>
      </c>
      <c r="F4" s="6" t="str">
        <f>IFERROR(VLOOKUP(B4,'Reference Table'!$A$2:$C$20,2,FALSE),"")</f>
        <v>KG</v>
      </c>
      <c r="G4" s="7">
        <v>0</v>
      </c>
      <c r="H4" s="14">
        <v>84000</v>
      </c>
    </row>
    <row r="5" spans="1:10" x14ac:dyDescent="0.35">
      <c r="A5" s="13">
        <v>45889</v>
      </c>
      <c r="B5" s="6" t="s">
        <v>14</v>
      </c>
      <c r="C5" s="6" t="s">
        <v>12</v>
      </c>
      <c r="D5" s="6" t="s">
        <v>22</v>
      </c>
      <c r="E5" s="6">
        <v>60</v>
      </c>
      <c r="F5" s="6" t="str">
        <f>IFERROR(VLOOKUP(B5,'Reference Table'!$A$2:$C$20,2,FALSE),"")</f>
        <v>BAGS</v>
      </c>
      <c r="G5" s="7">
        <v>325</v>
      </c>
      <c r="H5" s="14">
        <f>E5*G5</f>
        <v>19500</v>
      </c>
    </row>
    <row r="6" spans="1:10" x14ac:dyDescent="0.35">
      <c r="A6" s="13">
        <v>45890</v>
      </c>
      <c r="B6" s="6" t="s">
        <v>19</v>
      </c>
      <c r="C6" s="6"/>
      <c r="D6" s="6" t="s">
        <v>17</v>
      </c>
      <c r="E6" s="6">
        <v>4</v>
      </c>
      <c r="F6" s="6" t="str">
        <f>IFERROR(VLOOKUP(B6,'Reference Table'!$A$2:$C$20,2,FALSE),"")</f>
        <v>UNITS</v>
      </c>
      <c r="G6" s="7">
        <v>5125</v>
      </c>
      <c r="H6" s="14">
        <f t="shared" ref="H6:H13" si="0">E6*G6</f>
        <v>20500</v>
      </c>
    </row>
    <row r="7" spans="1:10" x14ac:dyDescent="0.35">
      <c r="A7" s="13">
        <v>45890</v>
      </c>
      <c r="B7" s="6" t="s">
        <v>24</v>
      </c>
      <c r="C7" s="6"/>
      <c r="D7" s="6" t="s">
        <v>17</v>
      </c>
      <c r="E7" s="6">
        <v>6000</v>
      </c>
      <c r="F7" s="6" t="str">
        <f>IFERROR(VLOOKUP(B7,'Reference Table'!$A$2:$C$20,2,FALSE),"")</f>
        <v>NOS</v>
      </c>
      <c r="G7" s="7">
        <v>7.25</v>
      </c>
      <c r="H7" s="14">
        <f t="shared" si="0"/>
        <v>43500</v>
      </c>
    </row>
    <row r="8" spans="1:10" x14ac:dyDescent="0.35">
      <c r="A8" s="13">
        <v>45890</v>
      </c>
      <c r="B8" s="6" t="s">
        <v>21</v>
      </c>
      <c r="C8" s="6"/>
      <c r="D8" s="6" t="s">
        <v>17</v>
      </c>
      <c r="E8" s="6">
        <v>4</v>
      </c>
      <c r="F8" s="6" t="str">
        <f>IFERROR(VLOOKUP(B8,'Reference Table'!$A$2:$C$20,2,FALSE),"")</f>
        <v>UNITS</v>
      </c>
      <c r="G8" s="7">
        <v>4450</v>
      </c>
      <c r="H8" s="14">
        <f t="shared" si="0"/>
        <v>17800</v>
      </c>
    </row>
    <row r="9" spans="1:10" x14ac:dyDescent="0.35">
      <c r="A9" s="13">
        <v>45891</v>
      </c>
      <c r="B9" s="6" t="s">
        <v>23</v>
      </c>
      <c r="C9" s="6"/>
      <c r="D9" s="6" t="s">
        <v>17</v>
      </c>
      <c r="E9" s="6">
        <v>8</v>
      </c>
      <c r="F9" s="6" t="str">
        <f>IFERROR(VLOOKUP(B9,'Reference Table'!$A$2:$C$20,2,FALSE),"")</f>
        <v>UNITS</v>
      </c>
      <c r="G9" s="7">
        <v>4450</v>
      </c>
      <c r="H9" s="14">
        <f t="shared" si="0"/>
        <v>35600</v>
      </c>
    </row>
    <row r="10" spans="1:10" x14ac:dyDescent="0.35">
      <c r="A10" s="13">
        <v>45892</v>
      </c>
      <c r="B10" s="6" t="s">
        <v>19</v>
      </c>
      <c r="C10" s="6"/>
      <c r="D10" s="6" t="s">
        <v>17</v>
      </c>
      <c r="E10" s="6">
        <v>4</v>
      </c>
      <c r="F10" s="6" t="str">
        <f>IFERROR(VLOOKUP(B10,'Reference Table'!$A$2:$C$20,2,FALSE),"")</f>
        <v>UNITS</v>
      </c>
      <c r="G10" s="7">
        <v>5125</v>
      </c>
      <c r="H10" s="14">
        <f t="shared" si="0"/>
        <v>20500</v>
      </c>
    </row>
    <row r="11" spans="1:10" x14ac:dyDescent="0.35">
      <c r="A11" s="13">
        <v>45892</v>
      </c>
      <c r="B11" s="6" t="s">
        <v>14</v>
      </c>
      <c r="C11" s="6" t="s">
        <v>29</v>
      </c>
      <c r="D11" s="6" t="s">
        <v>28</v>
      </c>
      <c r="E11" s="6">
        <v>100</v>
      </c>
      <c r="F11" s="6" t="str">
        <f>IFERROR(VLOOKUP(B11,'Reference Table'!$A$2:$C$20,2,FALSE),"")</f>
        <v>BAGS</v>
      </c>
      <c r="G11" s="7">
        <v>310</v>
      </c>
      <c r="H11" s="14">
        <f t="shared" si="0"/>
        <v>31000</v>
      </c>
    </row>
    <row r="12" spans="1:10" x14ac:dyDescent="0.35">
      <c r="A12" s="13">
        <v>45892</v>
      </c>
      <c r="B12" s="6" t="s">
        <v>34</v>
      </c>
      <c r="C12" s="6"/>
      <c r="D12" s="6" t="s">
        <v>17</v>
      </c>
      <c r="E12" s="6">
        <v>4</v>
      </c>
      <c r="F12" s="6" t="str">
        <f>IFERROR(VLOOKUP(B12,'Reference Table'!$A$2:$C$20,2,FALSE),"")</f>
        <v>UNITS</v>
      </c>
      <c r="G12" s="7">
        <v>5950</v>
      </c>
      <c r="H12" s="14">
        <f t="shared" si="0"/>
        <v>23800</v>
      </c>
    </row>
    <row r="13" spans="1:10" x14ac:dyDescent="0.35">
      <c r="A13" s="13">
        <v>45893</v>
      </c>
      <c r="B13" s="6" t="s">
        <v>14</v>
      </c>
      <c r="C13" s="6" t="s">
        <v>12</v>
      </c>
      <c r="D13" s="6" t="s">
        <v>22</v>
      </c>
      <c r="E13" s="6">
        <v>60</v>
      </c>
      <c r="F13" s="6" t="str">
        <f>IFERROR(VLOOKUP(B13,'Reference Table'!$A$2:$C$20,2,FALSE),"")</f>
        <v>BAGS</v>
      </c>
      <c r="G13" s="7">
        <v>320</v>
      </c>
      <c r="H13" s="14">
        <f t="shared" si="0"/>
        <v>19200</v>
      </c>
    </row>
    <row r="14" spans="1:10" x14ac:dyDescent="0.35">
      <c r="A14" s="13">
        <v>45905</v>
      </c>
      <c r="B14" s="6" t="s">
        <v>11</v>
      </c>
      <c r="C14" s="6" t="s">
        <v>42</v>
      </c>
      <c r="D14" s="6" t="s">
        <v>43</v>
      </c>
      <c r="E14" s="6">
        <v>722</v>
      </c>
      <c r="F14" s="6" t="str">
        <f>IFERROR(VLOOKUP(B14,'Reference Table'!$A$2:$C$20,2,FALSE),"")</f>
        <v>KG</v>
      </c>
      <c r="G14" s="7"/>
      <c r="H14" s="14">
        <v>42000</v>
      </c>
    </row>
    <row r="15" spans="1:10" x14ac:dyDescent="0.35">
      <c r="A15" s="13">
        <v>45906</v>
      </c>
      <c r="B15" s="6" t="s">
        <v>11</v>
      </c>
      <c r="C15" s="6" t="s">
        <v>42</v>
      </c>
      <c r="D15" s="6" t="s">
        <v>43</v>
      </c>
      <c r="E15" s="6">
        <v>801</v>
      </c>
      <c r="F15" s="6" t="str">
        <f>IFERROR(VLOOKUP(B15,'Reference Table'!$A$2:$C$20,2,FALSE),"")</f>
        <v>KG</v>
      </c>
      <c r="G15" s="7"/>
      <c r="H15" s="14">
        <v>47500</v>
      </c>
    </row>
    <row r="16" spans="1:10" x14ac:dyDescent="0.35">
      <c r="A16" s="13">
        <v>45908</v>
      </c>
      <c r="B16" s="6" t="s">
        <v>24</v>
      </c>
      <c r="C16" s="6"/>
      <c r="D16" s="6" t="s">
        <v>17</v>
      </c>
      <c r="E16" s="6">
        <v>3000</v>
      </c>
      <c r="F16" s="6" t="str">
        <f>IFERROR(VLOOKUP(B16,'Reference Table'!$A$2:$C$20,2,FALSE),"")</f>
        <v>NOS</v>
      </c>
      <c r="G16" s="7">
        <v>7.25</v>
      </c>
      <c r="H16" s="14">
        <f t="shared" ref="H16:H33" si="1">E16*G16</f>
        <v>21750</v>
      </c>
    </row>
    <row r="17" spans="1:8" x14ac:dyDescent="0.35">
      <c r="A17" s="13">
        <v>45908</v>
      </c>
      <c r="B17" s="6" t="s">
        <v>23</v>
      </c>
      <c r="C17" s="6"/>
      <c r="D17" s="6" t="s">
        <v>17</v>
      </c>
      <c r="E17" s="6">
        <v>8</v>
      </c>
      <c r="F17" s="6" t="str">
        <f>IFERROR(VLOOKUP(B17,'Reference Table'!$A$2:$C$20,2,FALSE),"")</f>
        <v>UNITS</v>
      </c>
      <c r="G17" s="7">
        <v>4450</v>
      </c>
      <c r="H17" s="14">
        <f t="shared" si="1"/>
        <v>35600</v>
      </c>
    </row>
    <row r="18" spans="1:8" x14ac:dyDescent="0.35">
      <c r="A18" s="13">
        <v>45908</v>
      </c>
      <c r="B18" s="6" t="s">
        <v>19</v>
      </c>
      <c r="C18" s="6"/>
      <c r="D18" s="6" t="s">
        <v>17</v>
      </c>
      <c r="E18" s="6">
        <v>4</v>
      </c>
      <c r="F18" s="6" t="str">
        <f>IFERROR(VLOOKUP(B18,'Reference Table'!$A$2:$C$20,2,FALSE),"")</f>
        <v>UNITS</v>
      </c>
      <c r="G18" s="7">
        <v>5125</v>
      </c>
      <c r="H18" s="14">
        <f t="shared" si="1"/>
        <v>20500</v>
      </c>
    </row>
    <row r="19" spans="1:8" x14ac:dyDescent="0.35">
      <c r="A19" s="13">
        <v>45909</v>
      </c>
      <c r="B19" s="6" t="s">
        <v>14</v>
      </c>
      <c r="C19" s="6" t="s">
        <v>12</v>
      </c>
      <c r="D19" s="6" t="s">
        <v>22</v>
      </c>
      <c r="E19" s="6">
        <v>60</v>
      </c>
      <c r="F19" s="6" t="str">
        <f>IFERROR(VLOOKUP(B19,'Reference Table'!$A$2:$C$20,2,FALSE),"")</f>
        <v>BAGS</v>
      </c>
      <c r="G19" s="7">
        <v>320</v>
      </c>
      <c r="H19" s="14">
        <f t="shared" si="1"/>
        <v>19200</v>
      </c>
    </row>
    <row r="20" spans="1:8" x14ac:dyDescent="0.35">
      <c r="A20" s="13">
        <v>45909</v>
      </c>
      <c r="B20" s="6" t="s">
        <v>19</v>
      </c>
      <c r="C20" s="6"/>
      <c r="D20" s="6" t="s">
        <v>17</v>
      </c>
      <c r="E20" s="6">
        <v>4</v>
      </c>
      <c r="F20" s="6" t="str">
        <f>IFERROR(VLOOKUP(B20,'Reference Table'!$A$2:$C$20,2,FALSE),"")</f>
        <v>UNITS</v>
      </c>
      <c r="G20" s="7">
        <v>5125</v>
      </c>
      <c r="H20" s="14">
        <f t="shared" si="1"/>
        <v>20500</v>
      </c>
    </row>
    <row r="21" spans="1:8" x14ac:dyDescent="0.35">
      <c r="A21" s="13">
        <v>45909</v>
      </c>
      <c r="B21" s="6" t="s">
        <v>24</v>
      </c>
      <c r="C21" s="6"/>
      <c r="D21" s="6" t="s">
        <v>17</v>
      </c>
      <c r="E21" s="6">
        <v>3000</v>
      </c>
      <c r="F21" s="6" t="str">
        <f>IFERROR(VLOOKUP(B21,'Reference Table'!$A$2:$C$20,2,FALSE),"")</f>
        <v>NOS</v>
      </c>
      <c r="G21" s="7">
        <v>7.25</v>
      </c>
      <c r="H21" s="14">
        <f t="shared" si="1"/>
        <v>21750</v>
      </c>
    </row>
    <row r="22" spans="1:8" x14ac:dyDescent="0.35">
      <c r="A22" s="13">
        <v>45912</v>
      </c>
      <c r="B22" s="6" t="s">
        <v>24</v>
      </c>
      <c r="C22" s="6"/>
      <c r="D22" s="6" t="s">
        <v>17</v>
      </c>
      <c r="E22" s="6">
        <v>3000</v>
      </c>
      <c r="F22" s="6" t="str">
        <f>IFERROR(VLOOKUP(B22,'Reference Table'!$A$2:$C$20,2,FALSE),"")</f>
        <v>NOS</v>
      </c>
      <c r="G22" s="7">
        <v>7.25</v>
      </c>
      <c r="H22" s="14">
        <f t="shared" si="1"/>
        <v>21750</v>
      </c>
    </row>
    <row r="23" spans="1:8" x14ac:dyDescent="0.35">
      <c r="A23" s="13">
        <v>45912</v>
      </c>
      <c r="B23" s="6" t="s">
        <v>14</v>
      </c>
      <c r="C23" s="6" t="s">
        <v>12</v>
      </c>
      <c r="D23" s="6" t="s">
        <v>22</v>
      </c>
      <c r="E23" s="6">
        <v>60</v>
      </c>
      <c r="F23" s="6" t="str">
        <f>IFERROR(VLOOKUP(B23,'Reference Table'!$A$2:$C$20,2,FALSE),"")</f>
        <v>BAGS</v>
      </c>
      <c r="G23" s="7">
        <v>320</v>
      </c>
      <c r="H23" s="14">
        <f t="shared" si="1"/>
        <v>19200</v>
      </c>
    </row>
    <row r="24" spans="1:8" x14ac:dyDescent="0.35">
      <c r="A24" s="13">
        <v>45912</v>
      </c>
      <c r="B24" s="6" t="s">
        <v>47</v>
      </c>
      <c r="C24" s="6"/>
      <c r="D24" s="6" t="s">
        <v>17</v>
      </c>
      <c r="E24" s="6">
        <v>8</v>
      </c>
      <c r="F24" s="6" t="str">
        <f>IFERROR(VLOOKUP(B24,'Reference Table'!$A$2:$C$20,2,FALSE),"")</f>
        <v>UNITS</v>
      </c>
      <c r="G24" s="7">
        <v>2200</v>
      </c>
      <c r="H24" s="14">
        <f t="shared" si="1"/>
        <v>17600</v>
      </c>
    </row>
    <row r="25" spans="1:8" x14ac:dyDescent="0.35">
      <c r="A25" s="13">
        <v>45917</v>
      </c>
      <c r="B25" s="6" t="s">
        <v>19</v>
      </c>
      <c r="C25" s="6"/>
      <c r="D25" s="6" t="s">
        <v>17</v>
      </c>
      <c r="E25" s="6">
        <v>4</v>
      </c>
      <c r="F25" s="6" t="str">
        <f>IFERROR(VLOOKUP(B25,'Reference Table'!$A$2:$C$20,2,FALSE),"")</f>
        <v>UNITS</v>
      </c>
      <c r="G25" s="7">
        <v>5125</v>
      </c>
      <c r="H25" s="14">
        <f t="shared" si="1"/>
        <v>20500</v>
      </c>
    </row>
    <row r="26" spans="1:8" x14ac:dyDescent="0.35">
      <c r="A26" s="13">
        <v>45917</v>
      </c>
      <c r="B26" s="6" t="s">
        <v>21</v>
      </c>
      <c r="C26" s="6"/>
      <c r="D26" s="6" t="s">
        <v>17</v>
      </c>
      <c r="E26" s="6">
        <v>4</v>
      </c>
      <c r="F26" s="6" t="str">
        <f>IFERROR(VLOOKUP(B26,'Reference Table'!$A$2:$C$20,2,FALSE),"")</f>
        <v>UNITS</v>
      </c>
      <c r="G26" s="7">
        <v>4450</v>
      </c>
      <c r="H26" s="14">
        <f t="shared" si="1"/>
        <v>17800</v>
      </c>
    </row>
    <row r="27" spans="1:8" x14ac:dyDescent="0.35">
      <c r="A27" s="13">
        <v>45917</v>
      </c>
      <c r="B27" s="6" t="s">
        <v>14</v>
      </c>
      <c r="C27" s="6" t="s">
        <v>12</v>
      </c>
      <c r="D27" s="6" t="s">
        <v>22</v>
      </c>
      <c r="E27" s="6">
        <v>110</v>
      </c>
      <c r="F27" s="6" t="str">
        <f>IFERROR(VLOOKUP(B27,'Reference Table'!$A$2:$C$20,2,FALSE),"")</f>
        <v>BAGS</v>
      </c>
      <c r="G27" s="7">
        <v>320</v>
      </c>
      <c r="H27" s="14">
        <f t="shared" si="1"/>
        <v>35200</v>
      </c>
    </row>
    <row r="28" spans="1:8" x14ac:dyDescent="0.35">
      <c r="A28" s="11">
        <v>45918</v>
      </c>
      <c r="B28" s="6" t="s">
        <v>24</v>
      </c>
      <c r="C28" s="6"/>
      <c r="D28" s="6" t="s">
        <v>49</v>
      </c>
      <c r="E28" s="6">
        <v>10000</v>
      </c>
      <c r="F28" s="6" t="str">
        <f>IFERROR(VLOOKUP(B28,'Reference Table'!$A$2:$C$20,2,FALSE),"")</f>
        <v>NOS</v>
      </c>
      <c r="G28" s="7">
        <v>7.2</v>
      </c>
      <c r="H28" s="9">
        <f t="shared" si="1"/>
        <v>72000</v>
      </c>
    </row>
    <row r="29" spans="1:8" x14ac:dyDescent="0.35">
      <c r="A29" s="11">
        <v>45922</v>
      </c>
      <c r="B29" s="6" t="s">
        <v>19</v>
      </c>
      <c r="C29" s="6"/>
      <c r="D29" s="6" t="s">
        <v>17</v>
      </c>
      <c r="E29" s="6">
        <v>4</v>
      </c>
      <c r="F29" s="6" t="str">
        <f>IFERROR(VLOOKUP(B29,'Reference Table'!$A$2:$C$20,2,FALSE),"")</f>
        <v>UNITS</v>
      </c>
      <c r="G29" s="7">
        <v>5125</v>
      </c>
      <c r="H29" s="9">
        <f t="shared" si="1"/>
        <v>20500</v>
      </c>
    </row>
    <row r="30" spans="1:8" x14ac:dyDescent="0.35">
      <c r="A30" s="11">
        <v>45926</v>
      </c>
      <c r="B30" s="6" t="s">
        <v>24</v>
      </c>
      <c r="C30" s="6"/>
      <c r="D30" s="6" t="s">
        <v>49</v>
      </c>
      <c r="E30" s="6">
        <v>10000</v>
      </c>
      <c r="F30" s="6" t="str">
        <f>IFERROR(VLOOKUP(B30,'Reference Table'!$A$2:$C$20,2,FALSE),"")</f>
        <v>NOS</v>
      </c>
      <c r="G30" s="7">
        <v>7.2</v>
      </c>
      <c r="H30" s="9">
        <f t="shared" si="1"/>
        <v>72000</v>
      </c>
    </row>
    <row r="31" spans="1:8" x14ac:dyDescent="0.35">
      <c r="A31" s="11">
        <v>45934</v>
      </c>
      <c r="B31" s="6" t="s">
        <v>19</v>
      </c>
      <c r="C31" s="6"/>
      <c r="D31" s="6" t="s">
        <v>17</v>
      </c>
      <c r="E31" s="6">
        <v>4</v>
      </c>
      <c r="F31" s="6" t="str">
        <f>IFERROR(VLOOKUP(B31,'Reference Table'!$A$2:$C$20,2,FALSE),"")</f>
        <v>UNITS</v>
      </c>
      <c r="G31" s="7">
        <v>5125</v>
      </c>
      <c r="H31" s="9">
        <f t="shared" si="1"/>
        <v>20500</v>
      </c>
    </row>
    <row r="32" spans="1:8" x14ac:dyDescent="0.35">
      <c r="A32" s="11">
        <v>45935</v>
      </c>
      <c r="B32" s="6" t="s">
        <v>14</v>
      </c>
      <c r="C32" s="6" t="s">
        <v>12</v>
      </c>
      <c r="D32" s="6" t="s">
        <v>22</v>
      </c>
      <c r="E32" s="6">
        <v>50</v>
      </c>
      <c r="F32" s="6" t="str">
        <f>IFERROR(VLOOKUP(B32,'Reference Table'!$A$2:$C$20,2,FALSE),"")</f>
        <v>BAGS</v>
      </c>
      <c r="G32" s="7">
        <v>295</v>
      </c>
      <c r="H32" s="9">
        <f t="shared" si="1"/>
        <v>14750</v>
      </c>
    </row>
    <row r="33" spans="1:8" x14ac:dyDescent="0.35">
      <c r="A33" s="11">
        <v>45938</v>
      </c>
      <c r="B33" s="6" t="s">
        <v>24</v>
      </c>
      <c r="C33" s="6"/>
      <c r="D33" s="6" t="s">
        <v>17</v>
      </c>
      <c r="E33" s="6">
        <v>3000</v>
      </c>
      <c r="F33" s="6" t="str">
        <f>IFERROR(VLOOKUP(B33,'Reference Table'!$A$2:$C$20,2,FALSE),"")</f>
        <v>NOS</v>
      </c>
      <c r="G33" s="7">
        <v>7.25</v>
      </c>
      <c r="H33" s="9">
        <f t="shared" si="1"/>
        <v>21750</v>
      </c>
    </row>
    <row r="34" spans="1:8" x14ac:dyDescent="0.35">
      <c r="A34" s="11">
        <v>45934</v>
      </c>
      <c r="B34" s="6" t="s">
        <v>11</v>
      </c>
      <c r="C34" s="6" t="s">
        <v>53</v>
      </c>
      <c r="D34" s="6" t="s">
        <v>54</v>
      </c>
      <c r="E34" s="6">
        <v>2981</v>
      </c>
      <c r="F34" s="6" t="str">
        <f>IFERROR(VLOOKUP(B34,'Reference Table'!$A$2:$C$20,2,FALSE),"")</f>
        <v>KG</v>
      </c>
      <c r="G34" s="7"/>
      <c r="H34" s="9">
        <v>171840</v>
      </c>
    </row>
    <row r="35" spans="1:8" x14ac:dyDescent="0.35">
      <c r="A35" s="11">
        <v>45941</v>
      </c>
      <c r="B35" s="6" t="s">
        <v>24</v>
      </c>
      <c r="C35" s="6"/>
      <c r="D35" s="6" t="s">
        <v>17</v>
      </c>
      <c r="E35" s="6">
        <v>3000</v>
      </c>
      <c r="F35" s="6" t="str">
        <f>IFERROR(VLOOKUP(B35,'Reference Table'!$A$2:$C$20,2,FALSE),"")</f>
        <v>NOS</v>
      </c>
      <c r="G35" s="7">
        <v>7.25</v>
      </c>
      <c r="H35" s="9">
        <f t="shared" ref="H35:H42" si="2">E35*G35</f>
        <v>21750</v>
      </c>
    </row>
    <row r="36" spans="1:8" x14ac:dyDescent="0.35">
      <c r="A36" s="11">
        <v>45941</v>
      </c>
      <c r="B36" s="6" t="s">
        <v>14</v>
      </c>
      <c r="C36" s="6" t="s">
        <v>55</v>
      </c>
      <c r="D36" s="6" t="s">
        <v>22</v>
      </c>
      <c r="E36" s="6">
        <v>23</v>
      </c>
      <c r="F36" s="6" t="str">
        <f>IFERROR(VLOOKUP(B36,'Reference Table'!$A$2:$C$20,2,FALSE),"")</f>
        <v>BAGS</v>
      </c>
      <c r="G36" s="7">
        <v>325</v>
      </c>
      <c r="H36" s="9">
        <f t="shared" si="2"/>
        <v>7475</v>
      </c>
    </row>
    <row r="37" spans="1:8" x14ac:dyDescent="0.35">
      <c r="A37" s="11">
        <v>45945</v>
      </c>
      <c r="B37" s="6" t="s">
        <v>19</v>
      </c>
      <c r="C37" s="6"/>
      <c r="D37" s="6" t="s">
        <v>17</v>
      </c>
      <c r="E37" s="6">
        <v>4</v>
      </c>
      <c r="F37" s="6" t="str">
        <f>IFERROR(VLOOKUP(B37,'Reference Table'!$A$2:$C$20,2,FALSE),"")</f>
        <v>UNITS</v>
      </c>
      <c r="G37" s="7">
        <v>5125</v>
      </c>
      <c r="H37" s="9">
        <f t="shared" si="2"/>
        <v>20500</v>
      </c>
    </row>
    <row r="38" spans="1:8" x14ac:dyDescent="0.35">
      <c r="A38" s="11">
        <v>45945</v>
      </c>
      <c r="B38" s="6" t="s">
        <v>23</v>
      </c>
      <c r="C38" s="6"/>
      <c r="D38" s="6" t="s">
        <v>17</v>
      </c>
      <c r="E38" s="6">
        <v>4</v>
      </c>
      <c r="F38" s="6" t="str">
        <f>IFERROR(VLOOKUP(B38,'Reference Table'!$A$2:$C$20,2,FALSE),"")</f>
        <v>UNITS</v>
      </c>
      <c r="G38" s="7">
        <v>4450</v>
      </c>
      <c r="H38" s="9">
        <f t="shared" si="2"/>
        <v>17800</v>
      </c>
    </row>
    <row r="39" spans="1:8" x14ac:dyDescent="0.35">
      <c r="A39" s="11">
        <v>45579</v>
      </c>
      <c r="B39" s="6" t="s">
        <v>61</v>
      </c>
      <c r="C39" s="6"/>
      <c r="D39" s="6" t="s">
        <v>63</v>
      </c>
      <c r="E39" s="6"/>
      <c r="F39" s="6"/>
      <c r="G39" s="7"/>
      <c r="H39" s="9">
        <v>9818</v>
      </c>
    </row>
    <row r="40" spans="1:8" x14ac:dyDescent="0.35">
      <c r="A40" s="11">
        <v>45946</v>
      </c>
      <c r="B40" s="6" t="s">
        <v>14</v>
      </c>
      <c r="C40" s="6" t="s">
        <v>58</v>
      </c>
      <c r="D40" s="6" t="s">
        <v>22</v>
      </c>
      <c r="E40" s="6">
        <v>70</v>
      </c>
      <c r="F40" s="6" t="str">
        <f>IFERROR(VLOOKUP(B40,'Reference Table'!$A$2:$C$20,2,FALSE),"")</f>
        <v>BAGS</v>
      </c>
      <c r="G40" s="7">
        <v>290</v>
      </c>
      <c r="H40" s="9">
        <f t="shared" si="2"/>
        <v>20300</v>
      </c>
    </row>
    <row r="41" spans="1:8" x14ac:dyDescent="0.35">
      <c r="A41" s="11">
        <v>45961</v>
      </c>
      <c r="B41" s="6" t="s">
        <v>24</v>
      </c>
      <c r="C41" s="6"/>
      <c r="D41" s="6" t="s">
        <v>17</v>
      </c>
      <c r="E41" s="6">
        <v>1000</v>
      </c>
      <c r="F41" s="6" t="str">
        <f>IFERROR(VLOOKUP(B41,'Reference Table'!$A$2:$C$20,2,FALSE),"")</f>
        <v>NOS</v>
      </c>
      <c r="G41" s="7">
        <v>7.25</v>
      </c>
      <c r="H41" s="9">
        <f t="shared" si="2"/>
        <v>7250</v>
      </c>
    </row>
    <row r="42" spans="1:8" x14ac:dyDescent="0.35">
      <c r="A42" s="11">
        <v>45962</v>
      </c>
      <c r="B42" s="6" t="s">
        <v>14</v>
      </c>
      <c r="C42" s="6" t="s">
        <v>58</v>
      </c>
      <c r="D42" s="6" t="s">
        <v>22</v>
      </c>
      <c r="E42" s="6">
        <v>40</v>
      </c>
      <c r="F42" s="6" t="str">
        <f>IFERROR(VLOOKUP(B42,'Reference Table'!$A$2:$C$20,2,FALSE),"")</f>
        <v>BAGS</v>
      </c>
      <c r="G42" s="7">
        <v>290</v>
      </c>
      <c r="H42" s="9">
        <f t="shared" si="2"/>
        <v>11600</v>
      </c>
    </row>
    <row r="43" spans="1:8" x14ac:dyDescent="0.35">
      <c r="A43" s="11">
        <v>45964</v>
      </c>
      <c r="B43" s="6" t="s">
        <v>61</v>
      </c>
      <c r="C43" s="6"/>
      <c r="D43" s="6" t="s">
        <v>63</v>
      </c>
      <c r="E43" s="6"/>
      <c r="F43" s="6"/>
      <c r="G43" s="7"/>
      <c r="H43" s="9">
        <v>10707</v>
      </c>
    </row>
    <row r="44" spans="1:8" x14ac:dyDescent="0.35">
      <c r="A44" s="11">
        <v>45968</v>
      </c>
      <c r="B44" s="6" t="s">
        <v>11</v>
      </c>
      <c r="C44" s="6" t="s">
        <v>53</v>
      </c>
      <c r="D44" s="6" t="s">
        <v>54</v>
      </c>
      <c r="E44" s="6">
        <v>575</v>
      </c>
      <c r="F44" s="6" t="str">
        <f>IFERROR(VLOOKUP(B44,'Reference Table'!$A$2:$C$20,2,FALSE),"")</f>
        <v>KG</v>
      </c>
      <c r="G44" s="7"/>
      <c r="H44" s="9">
        <v>33630</v>
      </c>
    </row>
    <row r="45" spans="1:8" x14ac:dyDescent="0.35">
      <c r="A45" s="11">
        <v>45968</v>
      </c>
      <c r="B45" s="6" t="s">
        <v>34</v>
      </c>
      <c r="C45" s="6"/>
      <c r="D45" s="6" t="s">
        <v>17</v>
      </c>
      <c r="E45" s="6">
        <v>4</v>
      </c>
      <c r="F45" s="6" t="str">
        <f>IFERROR(VLOOKUP(B45,'Reference Table'!$A$2:$C$20,2,FALSE),"")</f>
        <v>UNITS</v>
      </c>
      <c r="G45" s="7">
        <v>5950</v>
      </c>
      <c r="H45" s="9">
        <f>E45*G45</f>
        <v>23800</v>
      </c>
    </row>
    <row r="46" spans="1:8" x14ac:dyDescent="0.35">
      <c r="A46" s="11">
        <v>45971</v>
      </c>
      <c r="B46" s="6" t="s">
        <v>19</v>
      </c>
      <c r="C46" s="6"/>
      <c r="D46" s="6" t="s">
        <v>17</v>
      </c>
      <c r="E46" s="6">
        <v>4</v>
      </c>
      <c r="F46" s="6" t="str">
        <f>IFERROR(VLOOKUP(B46,'Reference Table'!$A$2:$C$20,2,FALSE),"")</f>
        <v>UNITS</v>
      </c>
      <c r="G46" s="7">
        <v>5125</v>
      </c>
      <c r="H46" s="9">
        <f>E46*G46</f>
        <v>20500</v>
      </c>
    </row>
    <row r="47" spans="1:8" x14ac:dyDescent="0.35">
      <c r="A47" s="11">
        <v>45971</v>
      </c>
      <c r="B47" s="6" t="s">
        <v>23</v>
      </c>
      <c r="C47" s="6"/>
      <c r="D47" s="6" t="s">
        <v>17</v>
      </c>
      <c r="E47" s="6">
        <v>4</v>
      </c>
      <c r="F47" s="6" t="str">
        <f>IFERROR(VLOOKUP(B47,'Reference Table'!$A$2:$C$20,2,FALSE),"")</f>
        <v>UNITS</v>
      </c>
      <c r="G47" s="7">
        <v>4450</v>
      </c>
      <c r="H47" s="9">
        <f>E47*G47</f>
        <v>17800</v>
      </c>
    </row>
    <row r="48" spans="1:8" x14ac:dyDescent="0.35">
      <c r="A48" s="11">
        <v>45971</v>
      </c>
      <c r="B48" s="6" t="s">
        <v>61</v>
      </c>
      <c r="C48" s="6"/>
      <c r="D48" s="6" t="s">
        <v>63</v>
      </c>
      <c r="E48" s="6"/>
      <c r="F48" s="6"/>
      <c r="G48" s="7"/>
      <c r="H48" s="9">
        <v>5172</v>
      </c>
    </row>
    <row r="49" spans="1:8" x14ac:dyDescent="0.35">
      <c r="A49" s="11">
        <v>45973</v>
      </c>
      <c r="B49" s="6" t="s">
        <v>61</v>
      </c>
      <c r="C49" s="6"/>
      <c r="D49" s="6" t="s">
        <v>63</v>
      </c>
      <c r="E49" s="6"/>
      <c r="F49" s="6"/>
      <c r="G49" s="7"/>
      <c r="H49" s="9">
        <v>4000</v>
      </c>
    </row>
    <row r="50" spans="1:8" x14ac:dyDescent="0.35">
      <c r="A50" s="11">
        <v>45972</v>
      </c>
      <c r="B50" s="6" t="s">
        <v>14</v>
      </c>
      <c r="C50" s="6" t="s">
        <v>58</v>
      </c>
      <c r="D50" s="6" t="s">
        <v>22</v>
      </c>
      <c r="E50" s="6">
        <v>150</v>
      </c>
      <c r="F50" s="6" t="str">
        <f>IFERROR(VLOOKUP(B50,'Reference Table'!$A$2:$C$20,2,FALSE),"")</f>
        <v>BAGS</v>
      </c>
      <c r="G50" s="7">
        <v>290</v>
      </c>
      <c r="H50" s="9">
        <f t="shared" ref="H50:H55" si="3">E50*G50</f>
        <v>43500</v>
      </c>
    </row>
    <row r="51" spans="1:8" x14ac:dyDescent="0.35">
      <c r="A51" s="11">
        <v>45996</v>
      </c>
      <c r="B51" s="6" t="s">
        <v>14</v>
      </c>
      <c r="C51" s="6" t="s">
        <v>12</v>
      </c>
      <c r="D51" s="6" t="s">
        <v>22</v>
      </c>
      <c r="E51" s="6">
        <v>50</v>
      </c>
      <c r="F51" s="6" t="str">
        <f>IFERROR(VLOOKUP(B51,'Reference Table'!$A$2:$C$20,2,FALSE),"")</f>
        <v>BAGS</v>
      </c>
      <c r="G51" s="7">
        <v>280</v>
      </c>
      <c r="H51" s="9">
        <f t="shared" si="3"/>
        <v>14000</v>
      </c>
    </row>
    <row r="52" spans="1:8" x14ac:dyDescent="0.35">
      <c r="A52" s="11">
        <v>46000</v>
      </c>
      <c r="B52" s="6" t="s">
        <v>34</v>
      </c>
      <c r="C52" s="6"/>
      <c r="D52" s="6" t="s">
        <v>17</v>
      </c>
      <c r="E52" s="6">
        <v>2</v>
      </c>
      <c r="F52" s="6" t="str">
        <f>IFERROR(VLOOKUP(B52,'Reference Table'!$A$2:$C$20,2,FALSE),"")</f>
        <v>UNITS</v>
      </c>
      <c r="G52" s="7">
        <v>6000</v>
      </c>
      <c r="H52" s="9">
        <f t="shared" si="3"/>
        <v>12000</v>
      </c>
    </row>
    <row r="53" spans="1:8" x14ac:dyDescent="0.35">
      <c r="A53" s="11">
        <v>46001</v>
      </c>
      <c r="B53" s="6" t="s">
        <v>14</v>
      </c>
      <c r="C53" s="6" t="s">
        <v>12</v>
      </c>
      <c r="D53" s="6" t="s">
        <v>22</v>
      </c>
      <c r="E53" s="6">
        <v>50</v>
      </c>
      <c r="F53" s="6" t="s">
        <v>15</v>
      </c>
      <c r="G53" s="7">
        <v>280</v>
      </c>
      <c r="H53" s="9">
        <f t="shared" si="3"/>
        <v>14000</v>
      </c>
    </row>
    <row r="54" spans="1:8" x14ac:dyDescent="0.35">
      <c r="A54" s="11">
        <v>46001</v>
      </c>
      <c r="B54" s="6" t="s">
        <v>19</v>
      </c>
      <c r="C54" s="6"/>
      <c r="D54" s="6" t="s">
        <v>17</v>
      </c>
      <c r="E54" s="6">
        <v>2</v>
      </c>
      <c r="F54" s="6" t="s">
        <v>18</v>
      </c>
      <c r="G54" s="7">
        <v>5500</v>
      </c>
      <c r="H54" s="9">
        <f t="shared" si="3"/>
        <v>11000</v>
      </c>
    </row>
    <row r="55" spans="1:8" x14ac:dyDescent="0.35">
      <c r="A55" s="11">
        <v>46001</v>
      </c>
      <c r="B55" s="6" t="s">
        <v>23</v>
      </c>
      <c r="C55" s="6"/>
      <c r="D55" s="6" t="s">
        <v>17</v>
      </c>
      <c r="E55" s="6">
        <v>2</v>
      </c>
      <c r="F55" s="6" t="s">
        <v>18</v>
      </c>
      <c r="G55" s="7">
        <v>4750</v>
      </c>
      <c r="H55" s="9">
        <f t="shared" si="3"/>
        <v>9500</v>
      </c>
    </row>
    <row r="56" spans="1:8" x14ac:dyDescent="0.35">
      <c r="A56" s="11">
        <v>46007</v>
      </c>
      <c r="B56" s="6" t="s">
        <v>61</v>
      </c>
      <c r="C56" s="6"/>
      <c r="D56" s="6" t="s">
        <v>63</v>
      </c>
      <c r="E56" s="6"/>
      <c r="F56" s="6"/>
      <c r="G56" s="7">
        <v>8170</v>
      </c>
      <c r="H56" s="9">
        <v>8170</v>
      </c>
    </row>
    <row r="57" spans="1:8" x14ac:dyDescent="0.35">
      <c r="A57" s="11">
        <v>46014</v>
      </c>
      <c r="B57" s="6" t="s">
        <v>14</v>
      </c>
      <c r="C57" s="6" t="s">
        <v>12</v>
      </c>
      <c r="D57" s="6" t="s">
        <v>22</v>
      </c>
      <c r="E57" s="6">
        <v>50</v>
      </c>
      <c r="F57" s="6" t="s">
        <v>15</v>
      </c>
      <c r="G57" s="7">
        <v>275</v>
      </c>
      <c r="H57" s="9">
        <f>G57*E57</f>
        <v>13750</v>
      </c>
    </row>
    <row r="58" spans="1:8" x14ac:dyDescent="0.35">
      <c r="A58" s="11">
        <v>46026</v>
      </c>
      <c r="B58" s="6" t="s">
        <v>34</v>
      </c>
      <c r="C58" s="6"/>
      <c r="D58" s="6" t="s">
        <v>17</v>
      </c>
      <c r="E58" s="6">
        <v>4</v>
      </c>
      <c r="F58" s="6" t="s">
        <v>18</v>
      </c>
      <c r="G58" s="7">
        <v>5950</v>
      </c>
      <c r="H58" s="9">
        <f>E58*G58</f>
        <v>23800</v>
      </c>
    </row>
    <row r="59" spans="1:8" x14ac:dyDescent="0.35">
      <c r="A59" s="11">
        <v>46026</v>
      </c>
      <c r="B59" s="6" t="s">
        <v>62</v>
      </c>
      <c r="C59" s="6"/>
      <c r="D59" s="6" t="s">
        <v>63</v>
      </c>
      <c r="E59" s="6"/>
      <c r="F59" s="6"/>
      <c r="G59" s="7"/>
      <c r="H59" s="9">
        <v>35344</v>
      </c>
    </row>
    <row r="60" spans="1:8" x14ac:dyDescent="0.35">
      <c r="A60" s="11">
        <v>46029</v>
      </c>
      <c r="B60" s="6" t="s">
        <v>65</v>
      </c>
      <c r="C60" s="6"/>
      <c r="D60" s="6" t="s">
        <v>66</v>
      </c>
      <c r="E60" s="6">
        <v>400</v>
      </c>
      <c r="F60" s="6" t="s">
        <v>16</v>
      </c>
      <c r="G60" s="7">
        <v>40</v>
      </c>
      <c r="H60" s="9">
        <f>E60*G60</f>
        <v>16000</v>
      </c>
    </row>
    <row r="61" spans="1:8" x14ac:dyDescent="0.35">
      <c r="A61" s="11">
        <v>46030</v>
      </c>
      <c r="B61" s="6" t="s">
        <v>24</v>
      </c>
      <c r="C61" s="6"/>
      <c r="D61" s="6" t="s">
        <v>66</v>
      </c>
      <c r="E61" s="6">
        <v>3080</v>
      </c>
      <c r="F61" s="6" t="s">
        <v>16</v>
      </c>
      <c r="G61" s="7">
        <v>7.75</v>
      </c>
      <c r="H61" s="9">
        <f>E61*G61</f>
        <v>23870</v>
      </c>
    </row>
    <row r="62" spans="1:8" x14ac:dyDescent="0.35">
      <c r="A62" s="11">
        <v>46033</v>
      </c>
      <c r="B62" s="6" t="s">
        <v>69</v>
      </c>
      <c r="C62" s="6"/>
      <c r="D62" s="6" t="s">
        <v>63</v>
      </c>
      <c r="E62" s="6"/>
      <c r="F62" s="6"/>
      <c r="G62" s="7"/>
      <c r="H62" s="9">
        <v>5500</v>
      </c>
    </row>
    <row r="63" spans="1:8" x14ac:dyDescent="0.35">
      <c r="A63" s="11">
        <v>46044</v>
      </c>
      <c r="B63" s="6" t="s">
        <v>14</v>
      </c>
      <c r="C63" s="6" t="s">
        <v>12</v>
      </c>
      <c r="D63" s="6" t="s">
        <v>22</v>
      </c>
      <c r="E63" s="6">
        <v>60</v>
      </c>
      <c r="F63" s="6" t="s">
        <v>15</v>
      </c>
      <c r="G63" s="7">
        <v>275</v>
      </c>
      <c r="H63" s="9">
        <f>G63*E63</f>
        <v>16500</v>
      </c>
    </row>
    <row r="64" spans="1:8" x14ac:dyDescent="0.35">
      <c r="A64" s="11">
        <v>46047</v>
      </c>
      <c r="B64" s="6" t="s">
        <v>34</v>
      </c>
      <c r="C64" s="6"/>
      <c r="D64" s="6" t="s">
        <v>17</v>
      </c>
      <c r="E64" s="6">
        <v>4</v>
      </c>
      <c r="F64" s="6" t="s">
        <v>18</v>
      </c>
      <c r="G64" s="7">
        <v>5950</v>
      </c>
      <c r="H64" s="9">
        <f>G64*E64</f>
        <v>23800</v>
      </c>
    </row>
    <row r="65" spans="1:9" x14ac:dyDescent="0.35">
      <c r="A65" s="11">
        <v>46052</v>
      </c>
      <c r="B65" s="6" t="s">
        <v>69</v>
      </c>
      <c r="C65" s="6"/>
      <c r="D65" s="6" t="s">
        <v>63</v>
      </c>
      <c r="E65" s="6"/>
      <c r="F65" s="6"/>
      <c r="G65" s="7"/>
      <c r="H65" s="9">
        <v>7550</v>
      </c>
    </row>
    <row r="66" spans="1:9" x14ac:dyDescent="0.35">
      <c r="A66" s="11">
        <v>46053</v>
      </c>
      <c r="B66" s="6" t="s">
        <v>71</v>
      </c>
      <c r="C66" s="6"/>
      <c r="D66" s="6" t="s">
        <v>17</v>
      </c>
      <c r="E66" s="6">
        <v>4</v>
      </c>
      <c r="F66" s="6" t="s">
        <v>18</v>
      </c>
      <c r="G66" s="7">
        <v>4450</v>
      </c>
      <c r="H66" s="9">
        <f>E66*G66</f>
        <v>17800</v>
      </c>
    </row>
    <row r="67" spans="1:9" x14ac:dyDescent="0.35">
      <c r="A67" s="11">
        <v>46055</v>
      </c>
      <c r="B67" s="6" t="s">
        <v>19</v>
      </c>
      <c r="C67" s="6"/>
      <c r="D67" s="6" t="s">
        <v>17</v>
      </c>
      <c r="E67" s="6">
        <v>4</v>
      </c>
      <c r="F67" s="6" t="s">
        <v>18</v>
      </c>
      <c r="G67" s="7">
        <v>5125</v>
      </c>
      <c r="H67" s="9">
        <f>G67*E67</f>
        <v>20500</v>
      </c>
    </row>
    <row r="68" spans="1:9" x14ac:dyDescent="0.35">
      <c r="A68" s="11">
        <v>46055</v>
      </c>
      <c r="B68" s="6" t="s">
        <v>14</v>
      </c>
      <c r="C68" s="6" t="s">
        <v>12</v>
      </c>
      <c r="D68" s="6" t="s">
        <v>70</v>
      </c>
      <c r="E68" s="6">
        <v>50</v>
      </c>
      <c r="F68" s="6" t="s">
        <v>15</v>
      </c>
      <c r="G68" s="7">
        <v>275</v>
      </c>
      <c r="H68" s="9">
        <f>G68*E68</f>
        <v>13750</v>
      </c>
    </row>
    <row r="69" spans="1:9" x14ac:dyDescent="0.35">
      <c r="A69" s="11">
        <v>46065</v>
      </c>
      <c r="B69" s="6" t="s">
        <v>65</v>
      </c>
      <c r="C69" s="6"/>
      <c r="D69" s="6" t="s">
        <v>66</v>
      </c>
      <c r="E69" s="6">
        <v>800</v>
      </c>
      <c r="F69" s="6" t="s">
        <v>16</v>
      </c>
      <c r="G69" s="7">
        <v>40</v>
      </c>
      <c r="H69" s="9">
        <f>E69*G69</f>
        <v>32000</v>
      </c>
    </row>
    <row r="70" spans="1:9" x14ac:dyDescent="0.35">
      <c r="A70" s="11">
        <v>46070</v>
      </c>
      <c r="B70" s="6" t="s">
        <v>65</v>
      </c>
      <c r="C70" s="6"/>
      <c r="D70" s="6" t="s">
        <v>66</v>
      </c>
      <c r="E70" s="6">
        <v>400</v>
      </c>
      <c r="F70" s="6" t="s">
        <v>16</v>
      </c>
      <c r="G70" s="7">
        <v>40</v>
      </c>
      <c r="H70" s="9">
        <f>E70*G70</f>
        <v>16000</v>
      </c>
    </row>
    <row r="71" spans="1:9" x14ac:dyDescent="0.35">
      <c r="A71" s="11">
        <v>46070</v>
      </c>
      <c r="B71" s="6" t="s">
        <v>14</v>
      </c>
      <c r="C71" s="6"/>
      <c r="D71" s="6" t="s">
        <v>22</v>
      </c>
      <c r="E71" s="6">
        <v>60</v>
      </c>
      <c r="F71" s="6" t="s">
        <v>15</v>
      </c>
      <c r="G71" s="7">
        <v>270</v>
      </c>
      <c r="H71" s="9">
        <f>E71*G71</f>
        <v>16200</v>
      </c>
    </row>
    <row r="72" spans="1:9" x14ac:dyDescent="0.35">
      <c r="A72" s="11">
        <v>46074</v>
      </c>
      <c r="B72" s="6" t="s">
        <v>61</v>
      </c>
      <c r="C72" s="6"/>
      <c r="D72" s="6" t="s">
        <v>63</v>
      </c>
      <c r="E72" s="6"/>
      <c r="F72" s="6"/>
      <c r="G72" s="7"/>
      <c r="H72" s="9">
        <v>39979</v>
      </c>
      <c r="I72" t="s">
        <v>77</v>
      </c>
    </row>
    <row r="73" spans="1:9" x14ac:dyDescent="0.35">
      <c r="A73" s="11">
        <v>46079</v>
      </c>
      <c r="B73" s="6" t="s">
        <v>61</v>
      </c>
      <c r="C73" s="6"/>
      <c r="D73" s="6" t="s">
        <v>63</v>
      </c>
      <c r="E73" s="6"/>
      <c r="F73" s="6"/>
      <c r="G73" s="7"/>
      <c r="H73" s="9">
        <v>39829</v>
      </c>
      <c r="I73" t="s">
        <v>77</v>
      </c>
    </row>
    <row r="74" spans="1:9" x14ac:dyDescent="0.35">
      <c r="A74" s="11">
        <v>49738</v>
      </c>
      <c r="B74" s="6" t="s">
        <v>14</v>
      </c>
      <c r="C74" s="6" t="s">
        <v>12</v>
      </c>
      <c r="D74" s="6" t="s">
        <v>22</v>
      </c>
      <c r="E74" s="6">
        <v>60</v>
      </c>
      <c r="F74" s="6" t="s">
        <v>15</v>
      </c>
      <c r="G74" s="7">
        <v>270</v>
      </c>
      <c r="H74" s="9">
        <f>E74*G74</f>
        <v>16200</v>
      </c>
    </row>
    <row r="75" spans="1:9" x14ac:dyDescent="0.35">
      <c r="A75" s="11">
        <v>46085</v>
      </c>
      <c r="B75" s="6" t="s">
        <v>19</v>
      </c>
      <c r="C75" s="6"/>
      <c r="D75" s="6" t="s">
        <v>17</v>
      </c>
      <c r="E75" s="6">
        <v>4</v>
      </c>
      <c r="F75" s="6" t="s">
        <v>18</v>
      </c>
      <c r="G75" s="7">
        <v>5125</v>
      </c>
      <c r="H75" s="9">
        <f>E75*G75</f>
        <v>20500</v>
      </c>
    </row>
    <row r="76" spans="1:9" x14ac:dyDescent="0.35">
      <c r="A76" s="11">
        <v>46098</v>
      </c>
      <c r="B76" s="6" t="s">
        <v>14</v>
      </c>
      <c r="C76" s="6" t="s">
        <v>12</v>
      </c>
      <c r="D76" s="6" t="s">
        <v>79</v>
      </c>
      <c r="E76" s="6">
        <v>50</v>
      </c>
      <c r="F76" s="6" t="s">
        <v>15</v>
      </c>
      <c r="G76" s="7">
        <v>265</v>
      </c>
      <c r="H76" s="9">
        <f>E76*G76</f>
        <v>13250</v>
      </c>
    </row>
    <row r="77" spans="1:9" x14ac:dyDescent="0.35">
      <c r="A77" s="11">
        <v>46125</v>
      </c>
      <c r="B77" s="6" t="s">
        <v>14</v>
      </c>
      <c r="C77" s="6" t="s">
        <v>12</v>
      </c>
      <c r="D77" s="6" t="s">
        <v>79</v>
      </c>
      <c r="E77" s="6">
        <v>-35</v>
      </c>
      <c r="F77" s="6" t="s">
        <v>15</v>
      </c>
      <c r="G77" s="7">
        <v>265</v>
      </c>
      <c r="H77" s="9">
        <f>E77*G77</f>
        <v>-9275</v>
      </c>
    </row>
  </sheetData>
  <pageMargins left="0.7" right="0.7" top="0.75" bottom="0.75" header="0.3" footer="0.3"/>
  <pageSetup orientation="portrait" r:id="rId1"/>
  <ignoredErrors>
    <ignoredError sqref="B1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B90F22-E417-4626-AD55-E1FB3DA67C6A}">
          <x14:formula1>
            <xm:f>'Reference Table'!$A$2:$A$20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0C00-85B3-4ADB-8348-F3E7A686EE3A}">
  <dimension ref="A1:C14"/>
  <sheetViews>
    <sheetView workbookViewId="0">
      <selection activeCell="A9" sqref="A9:C14"/>
    </sheetView>
  </sheetViews>
  <sheetFormatPr defaultRowHeight="14.5" x14ac:dyDescent="0.35"/>
  <cols>
    <col min="1" max="1" width="13" bestFit="1" customWidth="1"/>
    <col min="2" max="2" width="13.453125" bestFit="1" customWidth="1"/>
    <col min="3" max="3" width="9.26953125" style="4" bestFit="1" customWidth="1"/>
  </cols>
  <sheetData>
    <row r="1" spans="1:3" x14ac:dyDescent="0.35">
      <c r="A1" s="1" t="s">
        <v>1</v>
      </c>
      <c r="B1" s="1" t="s">
        <v>9</v>
      </c>
      <c r="C1" s="8" t="s">
        <v>5</v>
      </c>
    </row>
    <row r="2" spans="1:3" x14ac:dyDescent="0.35">
      <c r="A2" s="6" t="s">
        <v>19</v>
      </c>
      <c r="B2" s="6" t="s">
        <v>18</v>
      </c>
      <c r="C2" s="7">
        <v>5125</v>
      </c>
    </row>
    <row r="3" spans="1:3" x14ac:dyDescent="0.35">
      <c r="A3" s="6" t="s">
        <v>21</v>
      </c>
      <c r="B3" s="6" t="s">
        <v>18</v>
      </c>
      <c r="C3" s="7">
        <v>4450</v>
      </c>
    </row>
    <row r="4" spans="1:3" x14ac:dyDescent="0.35">
      <c r="A4" s="6" t="s">
        <v>24</v>
      </c>
      <c r="B4" s="6" t="s">
        <v>16</v>
      </c>
      <c r="C4" s="7">
        <v>7.2</v>
      </c>
    </row>
    <row r="5" spans="1:3" x14ac:dyDescent="0.35">
      <c r="A5" s="6" t="s">
        <v>23</v>
      </c>
      <c r="B5" s="6" t="s">
        <v>18</v>
      </c>
      <c r="C5" s="7">
        <v>4450</v>
      </c>
    </row>
    <row r="6" spans="1:3" x14ac:dyDescent="0.35">
      <c r="A6" s="6" t="s">
        <v>34</v>
      </c>
      <c r="B6" s="6" t="s">
        <v>18</v>
      </c>
      <c r="C6" s="7">
        <v>5950</v>
      </c>
    </row>
    <row r="7" spans="1:3" x14ac:dyDescent="0.35">
      <c r="A7" s="6" t="s">
        <v>47</v>
      </c>
      <c r="B7" s="6" t="s">
        <v>18</v>
      </c>
      <c r="C7" s="7">
        <v>2200</v>
      </c>
    </row>
    <row r="8" spans="1:3" x14ac:dyDescent="0.35">
      <c r="A8" s="6" t="s">
        <v>14</v>
      </c>
      <c r="B8" s="6" t="s">
        <v>15</v>
      </c>
      <c r="C8" s="6"/>
    </row>
    <row r="9" spans="1:3" x14ac:dyDescent="0.35">
      <c r="A9" s="6" t="s">
        <v>11</v>
      </c>
      <c r="B9" s="6" t="s">
        <v>13</v>
      </c>
      <c r="C9" s="6"/>
    </row>
    <row r="10" spans="1:3" x14ac:dyDescent="0.35">
      <c r="A10" s="6" t="s">
        <v>61</v>
      </c>
      <c r="B10" s="6"/>
      <c r="C10" s="7"/>
    </row>
    <row r="11" spans="1:3" x14ac:dyDescent="0.35">
      <c r="A11" s="6" t="s">
        <v>62</v>
      </c>
      <c r="B11" s="6"/>
      <c r="C11" s="7"/>
    </row>
    <row r="12" spans="1:3" x14ac:dyDescent="0.35">
      <c r="A12" s="6" t="s">
        <v>65</v>
      </c>
      <c r="B12" s="6"/>
      <c r="C12" s="7"/>
    </row>
    <row r="13" spans="1:3" x14ac:dyDescent="0.35">
      <c r="A13" s="6" t="s">
        <v>69</v>
      </c>
      <c r="B13" s="6"/>
      <c r="C13" s="7"/>
    </row>
    <row r="14" spans="1:3" x14ac:dyDescent="0.35">
      <c r="A14" s="6" t="s">
        <v>71</v>
      </c>
      <c r="B14" s="6"/>
      <c r="C1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2B97-F8EC-489B-AAAD-008E3D44EA2D}">
  <dimension ref="A1:D15"/>
  <sheetViews>
    <sheetView workbookViewId="0">
      <selection activeCell="D1" sqref="D1:D1048576"/>
    </sheetView>
  </sheetViews>
  <sheetFormatPr defaultRowHeight="14.5" x14ac:dyDescent="0.35"/>
  <cols>
    <col min="1" max="1" width="13" bestFit="1" customWidth="1"/>
    <col min="3" max="3" width="13.453125" bestFit="1" customWidth="1"/>
    <col min="4" max="4" width="14.54296875" style="4" bestFit="1" customWidth="1"/>
  </cols>
  <sheetData>
    <row r="1" spans="1:4" x14ac:dyDescent="0.35">
      <c r="A1" s="1" t="s">
        <v>36</v>
      </c>
      <c r="B1" s="1" t="s">
        <v>4</v>
      </c>
      <c r="C1" s="1" t="s">
        <v>9</v>
      </c>
      <c r="D1" s="8" t="s">
        <v>82</v>
      </c>
    </row>
    <row r="2" spans="1:4" x14ac:dyDescent="0.35">
      <c r="A2" s="6" t="str" cm="1">
        <f t="array" ref="A2:A15">_xlfn.UNIQUE('Material Details'!B2:B1008)</f>
        <v>M-SAND</v>
      </c>
      <c r="B2" s="6">
        <f>SUMIF('Material Details'!B2:B1008,A2,'Material Details'!E2:E1008)</f>
        <v>50</v>
      </c>
      <c r="C2" s="6" t="s">
        <v>18</v>
      </c>
      <c r="D2" s="7">
        <f>SUMIF('Material Details'!B2:B1008,A2,'Material Details'!H2:H1008)</f>
        <v>257000</v>
      </c>
    </row>
    <row r="3" spans="1:4" x14ac:dyDescent="0.35">
      <c r="A3" s="6" t="str">
        <v>40 MM METAL</v>
      </c>
      <c r="B3" s="6">
        <f>SUMIF('Material Details'!B3:B1009,A3,'Material Details'!E3:E1009)</f>
        <v>12</v>
      </c>
      <c r="C3" s="6" t="s">
        <v>18</v>
      </c>
      <c r="D3" s="7">
        <f>SUMIF('Material Details'!B3:B1009,A3,'Material Details'!H3:H1009)</f>
        <v>53400</v>
      </c>
    </row>
    <row r="4" spans="1:4" x14ac:dyDescent="0.35">
      <c r="A4" s="6" t="str">
        <v>STEEL</v>
      </c>
      <c r="B4" s="6">
        <f>SUMIF('Material Details'!B4:B1010,A4,'Material Details'!E4:E1010)</f>
        <v>6413</v>
      </c>
      <c r="C4" s="6" t="s">
        <v>13</v>
      </c>
      <c r="D4" s="7">
        <f>SUMIF('Material Details'!B4:B1010,A4,'Material Details'!H4:H1010)</f>
        <v>378970</v>
      </c>
    </row>
    <row r="5" spans="1:4" x14ac:dyDescent="0.35">
      <c r="A5" s="6" t="str">
        <v>CEMENT</v>
      </c>
      <c r="B5" s="6">
        <f>SUMIF('Material Details'!B5:B1011,A5,'Material Details'!E5:E1011)</f>
        <v>1178</v>
      </c>
      <c r="C5" s="6" t="s">
        <v>15</v>
      </c>
      <c r="D5" s="7">
        <f>SUMIF('Material Details'!B5:B1011,A5,'Material Details'!H5:H1011)</f>
        <v>349300</v>
      </c>
    </row>
    <row r="6" spans="1:4" x14ac:dyDescent="0.35">
      <c r="A6" s="6" t="str">
        <v>BRICK-FLYASH</v>
      </c>
      <c r="B6" s="6">
        <f>SUMIF('Material Details'!B6:B1012,A6,'Material Details'!E6:E1012)</f>
        <v>45080</v>
      </c>
      <c r="C6" s="6" t="s">
        <v>16</v>
      </c>
      <c r="D6" s="7">
        <f>SUMIF('Material Details'!B6:B1012,A6,'Material Details'!H6:H1012)</f>
        <v>327370</v>
      </c>
    </row>
    <row r="7" spans="1:4" x14ac:dyDescent="0.35">
      <c r="A7" s="6" t="str">
        <v>20 MM JALLY</v>
      </c>
      <c r="B7" s="6">
        <f>SUMIF('Material Details'!B7:B1013,A7,'Material Details'!E7:E1013)</f>
        <v>26</v>
      </c>
      <c r="C7" s="6" t="s">
        <v>18</v>
      </c>
      <c r="D7" s="7">
        <f>SUMIF('Material Details'!B7:B1013,A7,'Material Details'!H7:H1013)</f>
        <v>116300</v>
      </c>
    </row>
    <row r="8" spans="1:4" x14ac:dyDescent="0.35">
      <c r="A8" s="6" t="str">
        <v>P-SAND</v>
      </c>
      <c r="B8" s="6">
        <f>SUMIF('Material Details'!B8:B1014,A8,'Material Details'!E8:E1014)</f>
        <v>18</v>
      </c>
      <c r="C8" s="6" t="s">
        <v>18</v>
      </c>
      <c r="D8" s="7">
        <f>SUMIF('Material Details'!B8:B1014,A8,'Material Details'!H8:H1014)</f>
        <v>107200</v>
      </c>
    </row>
    <row r="9" spans="1:4" x14ac:dyDescent="0.35">
      <c r="A9" s="6" t="str">
        <v>GRAVEL</v>
      </c>
      <c r="B9" s="6">
        <f>SUMIF('Material Details'!B9:B1015,A9,'Material Details'!E9:E1015)</f>
        <v>8</v>
      </c>
      <c r="C9" s="6" t="s">
        <v>18</v>
      </c>
      <c r="D9" s="7">
        <f>SUMIF('Material Details'!B9:B1015,A9,'Material Details'!H9:H1015)</f>
        <v>17600</v>
      </c>
    </row>
    <row r="10" spans="1:4" x14ac:dyDescent="0.35">
      <c r="A10" s="6" t="str">
        <v>ELECTRICAL</v>
      </c>
      <c r="B10" s="6">
        <f>SUMIF('Material Details'!B10:B1016,A10,'Material Details'!E10:E1016)</f>
        <v>0</v>
      </c>
      <c r="C10" s="6"/>
      <c r="D10" s="7">
        <f>SUMIF('Material Details'!B10:B1016,A10,'Material Details'!H10:H1016)</f>
        <v>117675</v>
      </c>
    </row>
    <row r="11" spans="1:4" x14ac:dyDescent="0.35">
      <c r="A11" s="6" t="str">
        <v>PLUMBING</v>
      </c>
      <c r="B11" s="6">
        <f>SUMIF('Material Details'!B11:B1017,A11,'Material Details'!E11:E1017)</f>
        <v>0</v>
      </c>
      <c r="C11" s="6"/>
      <c r="D11" s="7">
        <f>SUMIF('Material Details'!B11:B1017,A11,'Material Details'!H11:H1017)</f>
        <v>35344</v>
      </c>
    </row>
    <row r="12" spans="1:4" x14ac:dyDescent="0.35">
      <c r="A12" s="6" t="str">
        <v>SOLID BLOCKS</v>
      </c>
      <c r="B12" s="6">
        <f>SUMIF('Material Details'!B12:B1018,A12,'Material Details'!E12:E1018)</f>
        <v>1600</v>
      </c>
      <c r="C12" s="6" t="s">
        <v>16</v>
      </c>
      <c r="D12" s="7">
        <f>SUMIF('Material Details'!B12:B1018,A12,'Material Details'!H12:H1018)</f>
        <v>64000</v>
      </c>
    </row>
    <row r="13" spans="1:4" x14ac:dyDescent="0.35">
      <c r="A13" s="6" t="str">
        <v>PAINTING</v>
      </c>
      <c r="B13" s="6">
        <f>SUMIF('Material Details'!B13:B1019,A13,'Material Details'!E13:E1019)</f>
        <v>0</v>
      </c>
      <c r="C13" s="6"/>
      <c r="D13" s="7">
        <f>SUMIF('Material Details'!B13:B1019,A13,'Material Details'!H13:H1019)</f>
        <v>13050</v>
      </c>
    </row>
    <row r="14" spans="1:4" x14ac:dyDescent="0.35">
      <c r="A14" s="6" t="str">
        <v>BABY CHIPS</v>
      </c>
      <c r="B14" s="6">
        <f>SUMIF('Material Details'!B14:B1020,A14,'Material Details'!E14:E1020)</f>
        <v>4</v>
      </c>
      <c r="C14" s="6" t="s">
        <v>18</v>
      </c>
      <c r="D14" s="7">
        <f>SUMIF('Material Details'!B14:B1020,A14,'Material Details'!H14:H1020)</f>
        <v>17800</v>
      </c>
    </row>
    <row r="15" spans="1:4" x14ac:dyDescent="0.35">
      <c r="A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97B0-05D6-4BCA-A61B-0D246D1FF2DE}">
  <dimension ref="A1:J12"/>
  <sheetViews>
    <sheetView workbookViewId="0">
      <selection activeCell="D9" sqref="D9"/>
    </sheetView>
  </sheetViews>
  <sheetFormatPr defaultRowHeight="14.5" x14ac:dyDescent="0.35"/>
  <cols>
    <col min="1" max="1" width="20.54296875" bestFit="1" customWidth="1"/>
    <col min="2" max="2" width="18.36328125" style="4" bestFit="1" customWidth="1"/>
    <col min="3" max="3" width="19.08984375" style="4" bestFit="1" customWidth="1"/>
    <col min="4" max="4" width="16.81640625" style="4" bestFit="1" customWidth="1"/>
    <col min="10" max="10" width="11.7265625" bestFit="1" customWidth="1"/>
  </cols>
  <sheetData>
    <row r="1" spans="1:10" x14ac:dyDescent="0.35">
      <c r="A1" s="1" t="s">
        <v>25</v>
      </c>
      <c r="B1" s="8" t="s">
        <v>8</v>
      </c>
      <c r="C1" s="8" t="s">
        <v>26</v>
      </c>
      <c r="D1" s="8" t="s">
        <v>27</v>
      </c>
      <c r="J1" s="4"/>
    </row>
    <row r="2" spans="1:10" x14ac:dyDescent="0.35">
      <c r="A2" s="6" t="str" cm="1">
        <f t="array" ref="A2:A12">_xlfn.UNIQUE('Material Details'!D2:D1008)</f>
        <v>RSK</v>
      </c>
      <c r="B2" s="7">
        <f>SUMIF('Material Details'!D2:D1008,A2,'Material Details'!H2:H1008)</f>
        <v>728800</v>
      </c>
      <c r="C2" s="7">
        <f>SUMIF('Payment Details'!B2:B1000,'Vendor Balance Sheet'!A2,'Payment Details'!C2:C1000)</f>
        <v>700000</v>
      </c>
      <c r="D2" s="7">
        <f>B2-C2</f>
        <v>28800</v>
      </c>
    </row>
    <row r="3" spans="1:10" x14ac:dyDescent="0.35">
      <c r="A3" s="6" t="str">
        <v>SUSSHANT</v>
      </c>
      <c r="B3" s="7">
        <f>SUMIF('Material Details'!D2:D1008,A3,'Material Details'!H2:H1008)</f>
        <v>115000</v>
      </c>
      <c r="C3" s="7">
        <f>SUMIF('Payment Details'!B3:B1001,'Vendor Balance Sheet'!A3,'Payment Details'!C3:C1001)</f>
        <v>115000</v>
      </c>
      <c r="D3" s="7">
        <f t="shared" ref="D3:D7" si="0">B3-C3</f>
        <v>0</v>
      </c>
    </row>
    <row r="4" spans="1:10" x14ac:dyDescent="0.35">
      <c r="A4" s="6" t="str">
        <v>PALANI MURUGAN</v>
      </c>
      <c r="B4" s="7">
        <f>SUMIF('Material Details'!D3:D1009,A4,'Material Details'!H3:H1009)</f>
        <v>300575</v>
      </c>
      <c r="C4" s="7">
        <f>SUMIF('Payment Details'!B2:B1000,'Vendor Balance Sheet'!A4,'Payment Details'!C2:C1000)</f>
        <v>300575</v>
      </c>
      <c r="D4" s="7">
        <f t="shared" si="0"/>
        <v>0</v>
      </c>
    </row>
    <row r="5" spans="1:10" x14ac:dyDescent="0.35">
      <c r="A5" s="6" t="str">
        <v>VASANTHAM AGENCIES</v>
      </c>
      <c r="B5" s="7">
        <f>SUMIF('Material Details'!D4:D1010,A5,'Material Details'!H4:H1010)</f>
        <v>89500</v>
      </c>
      <c r="C5" s="7">
        <f>SUMIF('Payment Details'!B3:B1001,'Vendor Balance Sheet'!A5,'Payment Details'!C3:C1001)</f>
        <v>89500</v>
      </c>
      <c r="D5" s="7">
        <f t="shared" si="0"/>
        <v>0</v>
      </c>
    </row>
    <row r="6" spans="1:10" x14ac:dyDescent="0.35">
      <c r="A6" s="6" t="str">
        <v>SALEM FLYASH</v>
      </c>
      <c r="B6" s="7">
        <f>SUMIF('Material Details'!D5:D1011,A6,'Material Details'!H5:H1011)</f>
        <v>144000</v>
      </c>
      <c r="C6" s="7">
        <f>SUMIF('Payment Details'!B4:B1002,'Vendor Balance Sheet'!A6,'Payment Details'!C4:C1002)</f>
        <v>144000</v>
      </c>
      <c r="D6" s="7">
        <f t="shared" si="0"/>
        <v>0</v>
      </c>
    </row>
    <row r="7" spans="1:10" x14ac:dyDescent="0.35">
      <c r="A7" s="6" t="str">
        <v>AK STEELS</v>
      </c>
      <c r="B7" s="7">
        <f>SUMIF('Material Details'!D6:D1012,A7,'Material Details'!H6:H1012)</f>
        <v>205470</v>
      </c>
      <c r="C7" s="7">
        <f>SUMIF('Payment Details'!B5:B1003,'Vendor Balance Sheet'!A7,'Payment Details'!C5:C1003)</f>
        <v>205470</v>
      </c>
      <c r="D7" s="7">
        <f t="shared" si="0"/>
        <v>0</v>
      </c>
    </row>
    <row r="8" spans="1:10" x14ac:dyDescent="0.35">
      <c r="A8" s="6" t="str">
        <v>RAMDEV HARDWARES</v>
      </c>
      <c r="B8" s="7">
        <f>SUMIF('Material Details'!D7:D1013,A8,'Material Details'!H7:H1013)</f>
        <v>166069</v>
      </c>
      <c r="C8" s="7">
        <f>SUMIF('Payment Details'!B6:B1004,'Vendor Balance Sheet'!A8,'Payment Details'!C6:C1004)</f>
        <v>164800</v>
      </c>
      <c r="D8" s="7">
        <f t="shared" ref="D8:D10" si="1">B8-C8</f>
        <v>1269</v>
      </c>
    </row>
    <row r="9" spans="1:10" x14ac:dyDescent="0.35">
      <c r="A9" s="6" t="str">
        <v>SV TRADERS</v>
      </c>
      <c r="B9" s="7">
        <f>SUMIF('Material Details'!D8:D1014,A9,'Material Details'!H8:H1014)</f>
        <v>87870</v>
      </c>
      <c r="C9" s="7">
        <f>SUMIF('Payment Details'!B7:B1005,'Vendor Balance Sheet'!A9,'Payment Details'!C7:C1005)</f>
        <v>87850</v>
      </c>
      <c r="D9" s="7">
        <f t="shared" si="1"/>
        <v>20</v>
      </c>
    </row>
    <row r="10" spans="1:10" x14ac:dyDescent="0.35">
      <c r="A10" s="6" t="str">
        <v>NV ASSOCIATES</v>
      </c>
      <c r="B10" s="7">
        <f>SUMIF('Material Details'!D9:D1015,A10,'Material Details'!H9:H1015)</f>
        <v>13750</v>
      </c>
      <c r="C10" s="7">
        <f>SUMIF('Payment Details'!B8:B1006,'Vendor Balance Sheet'!A10,'Payment Details'!C8:C1006)</f>
        <v>13750</v>
      </c>
      <c r="D10" s="7">
        <f t="shared" si="1"/>
        <v>0</v>
      </c>
    </row>
    <row r="11" spans="1:10" x14ac:dyDescent="0.35">
      <c r="A11" s="6" t="str">
        <v>CHAKRA TRADERS</v>
      </c>
      <c r="B11" s="7">
        <f>SUMIF('Material Details'!D10:D1016,A11,'Material Details'!H10:H1016)</f>
        <v>3975</v>
      </c>
      <c r="C11" s="7">
        <f>SUMIF('Payment Details'!B9:B1007,'Vendor Balance Sheet'!A11,'Payment Details'!C9:C1007)</f>
        <v>3975</v>
      </c>
      <c r="D11" s="7">
        <f t="shared" ref="D11" si="2">B11-C11</f>
        <v>0</v>
      </c>
    </row>
    <row r="12" spans="1:10" x14ac:dyDescent="0.35">
      <c r="A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CC5F-739E-45E9-AC65-8442CF552E38}">
  <dimension ref="A1:F47"/>
  <sheetViews>
    <sheetView tabSelected="1" topLeftCell="A28" workbookViewId="0">
      <selection activeCell="G47" sqref="G47"/>
    </sheetView>
  </sheetViews>
  <sheetFormatPr defaultRowHeight="14.5" x14ac:dyDescent="0.35"/>
  <cols>
    <col min="1" max="1" width="8.7265625" style="3"/>
    <col min="2" max="2" width="20.54296875" bestFit="1" customWidth="1"/>
    <col min="3" max="3" width="13.1796875" style="4" bestFit="1" customWidth="1"/>
    <col min="4" max="4" width="17.81640625" style="4" bestFit="1" customWidth="1"/>
    <col min="5" max="5" width="7.7265625" style="4" bestFit="1" customWidth="1"/>
    <col min="6" max="6" width="53.453125" bestFit="1" customWidth="1"/>
  </cols>
  <sheetData>
    <row r="1" spans="1:6" x14ac:dyDescent="0.35">
      <c r="A1" s="2" t="s">
        <v>0</v>
      </c>
      <c r="B1" s="1" t="s">
        <v>25</v>
      </c>
      <c r="C1" s="8" t="s">
        <v>6</v>
      </c>
      <c r="D1" s="8" t="s">
        <v>7</v>
      </c>
      <c r="E1" s="8" t="s">
        <v>30</v>
      </c>
      <c r="F1" s="1" t="s">
        <v>10</v>
      </c>
    </row>
    <row r="2" spans="1:6" x14ac:dyDescent="0.35">
      <c r="A2" s="5">
        <v>45890</v>
      </c>
      <c r="B2" s="6" t="s">
        <v>22</v>
      </c>
      <c r="C2" s="7">
        <v>19500</v>
      </c>
      <c r="D2" s="7" t="s">
        <v>31</v>
      </c>
      <c r="E2" s="7" t="s">
        <v>32</v>
      </c>
      <c r="F2" s="6" t="s">
        <v>33</v>
      </c>
    </row>
    <row r="3" spans="1:6" x14ac:dyDescent="0.35">
      <c r="A3" s="5">
        <v>45892</v>
      </c>
      <c r="B3" s="6" t="s">
        <v>28</v>
      </c>
      <c r="C3" s="7">
        <v>65000</v>
      </c>
      <c r="D3" s="7" t="s">
        <v>31</v>
      </c>
      <c r="E3" s="7" t="s">
        <v>32</v>
      </c>
      <c r="F3" s="6" t="s">
        <v>35</v>
      </c>
    </row>
    <row r="4" spans="1:6" x14ac:dyDescent="0.35">
      <c r="A4" s="5">
        <v>45895</v>
      </c>
      <c r="B4" s="6" t="s">
        <v>28</v>
      </c>
      <c r="C4" s="7">
        <v>30000</v>
      </c>
      <c r="D4" s="7" t="s">
        <v>31</v>
      </c>
      <c r="E4" s="7" t="s">
        <v>37</v>
      </c>
      <c r="F4" s="6" t="s">
        <v>38</v>
      </c>
    </row>
    <row r="5" spans="1:6" x14ac:dyDescent="0.35">
      <c r="A5" s="5">
        <v>45899</v>
      </c>
      <c r="B5" s="6" t="s">
        <v>28</v>
      </c>
      <c r="C5" s="7">
        <v>20000</v>
      </c>
      <c r="D5" s="7" t="s">
        <v>31</v>
      </c>
      <c r="E5" s="7" t="s">
        <v>32</v>
      </c>
      <c r="F5" s="6" t="s">
        <v>39</v>
      </c>
    </row>
    <row r="6" spans="1:6" x14ac:dyDescent="0.35">
      <c r="A6" s="5">
        <v>45899</v>
      </c>
      <c r="B6" s="6" t="s">
        <v>22</v>
      </c>
      <c r="C6" s="7">
        <v>19200</v>
      </c>
      <c r="D6" s="7" t="s">
        <v>31</v>
      </c>
      <c r="E6" s="7" t="s">
        <v>32</v>
      </c>
      <c r="F6" s="6" t="s">
        <v>40</v>
      </c>
    </row>
    <row r="7" spans="1:6" x14ac:dyDescent="0.35">
      <c r="A7" s="5">
        <v>45899</v>
      </c>
      <c r="B7" s="6" t="s">
        <v>17</v>
      </c>
      <c r="C7" s="7">
        <v>50000</v>
      </c>
      <c r="D7" s="7" t="s">
        <v>31</v>
      </c>
      <c r="E7" s="7" t="s">
        <v>37</v>
      </c>
      <c r="F7" s="6" t="s">
        <v>41</v>
      </c>
    </row>
    <row r="8" spans="1:6" x14ac:dyDescent="0.35">
      <c r="A8" s="5">
        <v>45905</v>
      </c>
      <c r="B8" s="6" t="s">
        <v>43</v>
      </c>
      <c r="C8" s="7">
        <v>42000</v>
      </c>
      <c r="D8" s="7" t="s">
        <v>31</v>
      </c>
      <c r="E8" s="7" t="s">
        <v>32</v>
      </c>
      <c r="F8" s="6" t="s">
        <v>44</v>
      </c>
    </row>
    <row r="9" spans="1:6" x14ac:dyDescent="0.35">
      <c r="A9" s="5">
        <v>45906</v>
      </c>
      <c r="B9" s="6" t="s">
        <v>43</v>
      </c>
      <c r="C9" s="7">
        <v>47500</v>
      </c>
      <c r="D9" s="7" t="s">
        <v>45</v>
      </c>
      <c r="E9" s="7" t="s">
        <v>32</v>
      </c>
      <c r="F9" s="6" t="s">
        <v>46</v>
      </c>
    </row>
    <row r="10" spans="1:6" x14ac:dyDescent="0.35">
      <c r="A10" s="5">
        <v>45906</v>
      </c>
      <c r="B10" s="6" t="s">
        <v>17</v>
      </c>
      <c r="C10" s="7">
        <v>50000</v>
      </c>
      <c r="D10" s="7" t="s">
        <v>45</v>
      </c>
      <c r="E10" s="7" t="s">
        <v>37</v>
      </c>
      <c r="F10" s="6" t="s">
        <v>41</v>
      </c>
    </row>
    <row r="11" spans="1:6" x14ac:dyDescent="0.35">
      <c r="A11" s="5">
        <v>45914</v>
      </c>
      <c r="B11" s="6" t="s">
        <v>22</v>
      </c>
      <c r="C11" s="7">
        <v>38400</v>
      </c>
      <c r="D11" s="7" t="s">
        <v>45</v>
      </c>
      <c r="E11" s="7" t="s">
        <v>32</v>
      </c>
      <c r="F11" s="6" t="s">
        <v>48</v>
      </c>
    </row>
    <row r="12" spans="1:6" x14ac:dyDescent="0.35">
      <c r="A12" s="5">
        <v>45918</v>
      </c>
      <c r="B12" s="6" t="s">
        <v>49</v>
      </c>
      <c r="C12" s="7">
        <v>72000</v>
      </c>
      <c r="D12" s="7" t="s">
        <v>31</v>
      </c>
      <c r="E12" s="7" t="s">
        <v>37</v>
      </c>
      <c r="F12" s="6" t="s">
        <v>50</v>
      </c>
    </row>
    <row r="13" spans="1:6" x14ac:dyDescent="0.35">
      <c r="A13" s="5">
        <v>45925</v>
      </c>
      <c r="B13" s="6" t="s">
        <v>17</v>
      </c>
      <c r="C13" s="7">
        <v>150000</v>
      </c>
      <c r="D13" s="7" t="s">
        <v>45</v>
      </c>
      <c r="E13" s="7" t="s">
        <v>37</v>
      </c>
      <c r="F13" s="6" t="s">
        <v>41</v>
      </c>
    </row>
    <row r="14" spans="1:6" x14ac:dyDescent="0.35">
      <c r="A14" s="5">
        <v>45926</v>
      </c>
      <c r="B14" s="6" t="s">
        <v>49</v>
      </c>
      <c r="C14" s="7">
        <v>72000</v>
      </c>
      <c r="D14" s="7" t="s">
        <v>45</v>
      </c>
      <c r="E14" s="7" t="s">
        <v>37</v>
      </c>
      <c r="F14" s="6" t="s">
        <v>50</v>
      </c>
    </row>
    <row r="15" spans="1:6" x14ac:dyDescent="0.35">
      <c r="A15" s="5">
        <v>45927</v>
      </c>
      <c r="B15" s="6" t="s">
        <v>22</v>
      </c>
      <c r="C15" s="7">
        <v>12800</v>
      </c>
      <c r="D15" s="7" t="s">
        <v>45</v>
      </c>
      <c r="E15" s="7" t="s">
        <v>32</v>
      </c>
      <c r="F15" s="6" t="s">
        <v>51</v>
      </c>
    </row>
    <row r="16" spans="1:6" x14ac:dyDescent="0.35">
      <c r="A16" s="5">
        <v>45934</v>
      </c>
      <c r="B16" s="6" t="s">
        <v>22</v>
      </c>
      <c r="C16" s="7">
        <v>22400</v>
      </c>
      <c r="D16" s="7" t="s">
        <v>31</v>
      </c>
      <c r="E16" s="7" t="s">
        <v>32</v>
      </c>
      <c r="F16" s="6" t="s">
        <v>52</v>
      </c>
    </row>
    <row r="17" spans="1:6" x14ac:dyDescent="0.35">
      <c r="A17" s="5">
        <v>45941</v>
      </c>
      <c r="B17" s="6" t="s">
        <v>17</v>
      </c>
      <c r="C17" s="7">
        <v>100000</v>
      </c>
      <c r="D17" s="7" t="s">
        <v>45</v>
      </c>
      <c r="E17" s="7" t="s">
        <v>37</v>
      </c>
      <c r="F17" s="6" t="s">
        <v>41</v>
      </c>
    </row>
    <row r="18" spans="1:6" x14ac:dyDescent="0.35">
      <c r="A18" s="5">
        <v>45941</v>
      </c>
      <c r="B18" s="6" t="s">
        <v>54</v>
      </c>
      <c r="C18" s="7">
        <v>171840</v>
      </c>
      <c r="D18" s="7" t="s">
        <v>45</v>
      </c>
      <c r="E18" s="7" t="s">
        <v>32</v>
      </c>
      <c r="F18" s="6" t="s">
        <v>56</v>
      </c>
    </row>
    <row r="19" spans="1:6" x14ac:dyDescent="0.35">
      <c r="A19" s="5">
        <v>45941</v>
      </c>
      <c r="B19" s="6" t="s">
        <v>22</v>
      </c>
      <c r="C19" s="7">
        <v>14750</v>
      </c>
      <c r="D19" s="7" t="s">
        <v>31</v>
      </c>
      <c r="E19" s="7" t="s">
        <v>32</v>
      </c>
      <c r="F19" s="6" t="s">
        <v>57</v>
      </c>
    </row>
    <row r="20" spans="1:6" x14ac:dyDescent="0.35">
      <c r="A20" s="5">
        <v>45948</v>
      </c>
      <c r="B20" s="6" t="s">
        <v>63</v>
      </c>
      <c r="C20" s="7">
        <v>9800</v>
      </c>
      <c r="D20" s="7" t="s">
        <v>45</v>
      </c>
      <c r="E20" s="7" t="s">
        <v>32</v>
      </c>
      <c r="F20" s="6" t="s">
        <v>64</v>
      </c>
    </row>
    <row r="21" spans="1:6" x14ac:dyDescent="0.35">
      <c r="A21" s="5">
        <v>45955</v>
      </c>
      <c r="B21" s="6" t="s">
        <v>17</v>
      </c>
      <c r="C21" s="7">
        <v>50000</v>
      </c>
      <c r="D21" s="7" t="s">
        <v>45</v>
      </c>
      <c r="E21" s="7" t="s">
        <v>37</v>
      </c>
      <c r="F21" s="6" t="s">
        <v>41</v>
      </c>
    </row>
    <row r="22" spans="1:6" x14ac:dyDescent="0.35">
      <c r="A22" s="5">
        <v>45955</v>
      </c>
      <c r="B22" s="6" t="s">
        <v>22</v>
      </c>
      <c r="C22" s="7">
        <v>27775</v>
      </c>
      <c r="D22" s="7" t="s">
        <v>45</v>
      </c>
      <c r="E22" s="7" t="s">
        <v>32</v>
      </c>
      <c r="F22" s="6" t="s">
        <v>59</v>
      </c>
    </row>
    <row r="23" spans="1:6" x14ac:dyDescent="0.35">
      <c r="A23" s="5">
        <v>45969</v>
      </c>
      <c r="B23" s="6" t="s">
        <v>17</v>
      </c>
      <c r="C23" s="7">
        <v>50000</v>
      </c>
      <c r="D23" s="7" t="s">
        <v>45</v>
      </c>
      <c r="E23" s="7" t="s">
        <v>37</v>
      </c>
      <c r="F23" s="6" t="s">
        <v>41</v>
      </c>
    </row>
    <row r="24" spans="1:6" x14ac:dyDescent="0.35">
      <c r="A24" s="5">
        <v>45976</v>
      </c>
      <c r="B24" s="6" t="s">
        <v>54</v>
      </c>
      <c r="C24" s="7">
        <v>33630</v>
      </c>
      <c r="D24" s="7" t="s">
        <v>45</v>
      </c>
      <c r="E24" s="7" t="s">
        <v>32</v>
      </c>
      <c r="F24" s="6" t="s">
        <v>60</v>
      </c>
    </row>
    <row r="25" spans="1:6" x14ac:dyDescent="0.35">
      <c r="A25" s="5">
        <v>45997</v>
      </c>
      <c r="B25" s="6" t="s">
        <v>22</v>
      </c>
      <c r="C25" s="7">
        <v>50000</v>
      </c>
      <c r="D25" s="7" t="s">
        <v>45</v>
      </c>
      <c r="E25" s="7" t="s">
        <v>32</v>
      </c>
      <c r="F25" s="6" t="s">
        <v>51</v>
      </c>
    </row>
    <row r="26" spans="1:6" x14ac:dyDescent="0.35">
      <c r="A26" s="5">
        <v>45997</v>
      </c>
      <c r="B26" s="6" t="s">
        <v>17</v>
      </c>
      <c r="C26" s="7">
        <v>50000</v>
      </c>
      <c r="D26" s="7" t="s">
        <v>45</v>
      </c>
      <c r="E26" s="7" t="s">
        <v>37</v>
      </c>
      <c r="F26" s="6" t="s">
        <v>41</v>
      </c>
    </row>
    <row r="27" spans="1:6" x14ac:dyDescent="0.35">
      <c r="A27" s="5">
        <v>46011</v>
      </c>
      <c r="B27" s="6" t="s">
        <v>17</v>
      </c>
      <c r="C27" s="7">
        <v>50000</v>
      </c>
      <c r="D27" s="7" t="s">
        <v>45</v>
      </c>
      <c r="E27" s="7" t="s">
        <v>37</v>
      </c>
      <c r="F27" s="6" t="s">
        <v>41</v>
      </c>
    </row>
    <row r="28" spans="1:6" x14ac:dyDescent="0.35">
      <c r="A28" s="5">
        <v>46020</v>
      </c>
      <c r="B28" s="6" t="s">
        <v>22</v>
      </c>
      <c r="C28" s="7">
        <v>15000</v>
      </c>
      <c r="D28" s="7" t="s">
        <v>45</v>
      </c>
      <c r="E28" s="7" t="s">
        <v>37</v>
      </c>
      <c r="F28" s="6" t="s">
        <v>41</v>
      </c>
    </row>
    <row r="29" spans="1:6" x14ac:dyDescent="0.35">
      <c r="A29" s="5">
        <v>46032</v>
      </c>
      <c r="B29" s="6" t="s">
        <v>22</v>
      </c>
      <c r="C29" s="7">
        <v>31850</v>
      </c>
      <c r="D29" s="7" t="s">
        <v>45</v>
      </c>
      <c r="E29" s="7" t="s">
        <v>32</v>
      </c>
      <c r="F29" s="6" t="s">
        <v>67</v>
      </c>
    </row>
    <row r="30" spans="1:6" x14ac:dyDescent="0.35">
      <c r="A30" s="5">
        <v>46032</v>
      </c>
      <c r="B30" s="6" t="s">
        <v>66</v>
      </c>
      <c r="C30" s="7">
        <v>38950</v>
      </c>
      <c r="D30" s="7" t="s">
        <v>45</v>
      </c>
      <c r="E30" s="7" t="s">
        <v>37</v>
      </c>
      <c r="F30" s="6" t="s">
        <v>68</v>
      </c>
    </row>
    <row r="31" spans="1:6" x14ac:dyDescent="0.35">
      <c r="A31" s="5">
        <v>46053</v>
      </c>
      <c r="B31" s="6" t="s">
        <v>63</v>
      </c>
      <c r="C31" s="7">
        <v>30000</v>
      </c>
      <c r="D31" s="7" t="s">
        <v>45</v>
      </c>
      <c r="E31" s="7" t="s">
        <v>32</v>
      </c>
      <c r="F31" s="6" t="s">
        <v>41</v>
      </c>
    </row>
    <row r="32" spans="1:6" x14ac:dyDescent="0.35">
      <c r="A32" s="5">
        <v>46056</v>
      </c>
      <c r="B32" s="6" t="s">
        <v>17</v>
      </c>
      <c r="C32" s="7">
        <v>50000</v>
      </c>
      <c r="D32" s="7" t="s">
        <v>45</v>
      </c>
      <c r="E32" s="7" t="s">
        <v>37</v>
      </c>
      <c r="F32" s="6" t="s">
        <v>41</v>
      </c>
    </row>
    <row r="33" spans="1:6" x14ac:dyDescent="0.35">
      <c r="A33" s="5">
        <v>46060</v>
      </c>
      <c r="B33" s="6" t="s">
        <v>17</v>
      </c>
      <c r="C33" s="7">
        <v>100000</v>
      </c>
      <c r="D33" s="7" t="s">
        <v>72</v>
      </c>
      <c r="E33" s="7" t="s">
        <v>37</v>
      </c>
      <c r="F33" s="6" t="s">
        <v>73</v>
      </c>
    </row>
    <row r="34" spans="1:6" x14ac:dyDescent="0.35">
      <c r="A34" s="5">
        <v>46067</v>
      </c>
      <c r="B34" s="6" t="s">
        <v>66</v>
      </c>
      <c r="C34" s="7">
        <v>20000</v>
      </c>
      <c r="D34" s="7" t="s">
        <v>45</v>
      </c>
      <c r="E34" s="7" t="s">
        <v>37</v>
      </c>
      <c r="F34" s="6" t="s">
        <v>74</v>
      </c>
    </row>
    <row r="35" spans="1:6" x14ac:dyDescent="0.35">
      <c r="A35" s="5">
        <v>46067</v>
      </c>
      <c r="B35" s="6" t="s">
        <v>70</v>
      </c>
      <c r="C35" s="7">
        <v>10000</v>
      </c>
      <c r="D35" s="7" t="s">
        <v>45</v>
      </c>
      <c r="E35" s="7" t="s">
        <v>32</v>
      </c>
      <c r="F35" s="6" t="s">
        <v>51</v>
      </c>
    </row>
    <row r="36" spans="1:6" x14ac:dyDescent="0.35">
      <c r="A36" s="5">
        <v>46074</v>
      </c>
      <c r="B36" s="6" t="s">
        <v>63</v>
      </c>
      <c r="C36" s="7">
        <v>25000</v>
      </c>
      <c r="D36" s="7" t="s">
        <v>45</v>
      </c>
      <c r="E36" s="7" t="s">
        <v>32</v>
      </c>
      <c r="F36" s="6" t="s">
        <v>41</v>
      </c>
    </row>
    <row r="37" spans="1:6" x14ac:dyDescent="0.35">
      <c r="A37" s="5">
        <v>46074</v>
      </c>
      <c r="B37" s="6" t="s">
        <v>22</v>
      </c>
      <c r="C37" s="7">
        <v>30000</v>
      </c>
      <c r="D37" s="7" t="s">
        <v>45</v>
      </c>
      <c r="E37" s="7" t="s">
        <v>32</v>
      </c>
      <c r="F37" s="6" t="s">
        <v>41</v>
      </c>
    </row>
    <row r="38" spans="1:6" x14ac:dyDescent="0.35">
      <c r="A38" s="5">
        <v>46074</v>
      </c>
      <c r="B38" s="6" t="s">
        <v>70</v>
      </c>
      <c r="C38" s="7">
        <v>3750</v>
      </c>
      <c r="D38" s="7" t="s">
        <v>45</v>
      </c>
      <c r="E38" s="7" t="s">
        <v>32</v>
      </c>
      <c r="F38" s="6" t="s">
        <v>75</v>
      </c>
    </row>
    <row r="39" spans="1:6" x14ac:dyDescent="0.35">
      <c r="A39" s="5">
        <v>46074</v>
      </c>
      <c r="B39" s="6" t="s">
        <v>66</v>
      </c>
      <c r="C39" s="7">
        <v>28000</v>
      </c>
      <c r="D39" s="7" t="s">
        <v>45</v>
      </c>
      <c r="E39" s="7" t="s">
        <v>37</v>
      </c>
      <c r="F39" s="6" t="s">
        <v>76</v>
      </c>
    </row>
    <row r="40" spans="1:6" x14ac:dyDescent="0.35">
      <c r="A40" s="5">
        <v>46081</v>
      </c>
      <c r="B40" s="6" t="s">
        <v>63</v>
      </c>
      <c r="C40" s="7">
        <v>50000</v>
      </c>
      <c r="D40" s="7" t="s">
        <v>45</v>
      </c>
      <c r="E40" s="7" t="s">
        <v>32</v>
      </c>
      <c r="F40" s="6" t="s">
        <v>78</v>
      </c>
    </row>
    <row r="41" spans="1:6" x14ac:dyDescent="0.35">
      <c r="A41" s="5">
        <v>46102</v>
      </c>
      <c r="B41" s="6" t="s">
        <v>22</v>
      </c>
      <c r="C41" s="7">
        <v>18900</v>
      </c>
      <c r="D41" s="7" t="s">
        <v>45</v>
      </c>
      <c r="E41" s="7" t="s">
        <v>32</v>
      </c>
      <c r="F41" s="6" t="s">
        <v>80</v>
      </c>
    </row>
    <row r="42" spans="1:6" x14ac:dyDescent="0.35">
      <c r="A42" s="5">
        <v>46102</v>
      </c>
      <c r="B42" s="6" t="s">
        <v>66</v>
      </c>
      <c r="C42" s="7">
        <v>900</v>
      </c>
      <c r="D42" s="7" t="s">
        <v>45</v>
      </c>
      <c r="E42" s="7" t="s">
        <v>37</v>
      </c>
      <c r="F42" s="6" t="s">
        <v>67</v>
      </c>
    </row>
    <row r="43" spans="1:6" x14ac:dyDescent="0.35">
      <c r="A43" s="5">
        <v>46109</v>
      </c>
      <c r="B43" s="6" t="s">
        <v>63</v>
      </c>
      <c r="C43" s="7">
        <v>30000</v>
      </c>
      <c r="D43" s="7" t="s">
        <v>45</v>
      </c>
      <c r="E43" s="7" t="s">
        <v>32</v>
      </c>
      <c r="F43" s="6" t="s">
        <v>41</v>
      </c>
    </row>
    <row r="44" spans="1:6" x14ac:dyDescent="0.35">
      <c r="A44" s="5">
        <v>46109</v>
      </c>
      <c r="B44" s="6" t="s">
        <v>79</v>
      </c>
      <c r="C44" s="7">
        <v>8500</v>
      </c>
      <c r="D44" s="7" t="s">
        <v>45</v>
      </c>
      <c r="E44" s="7" t="s">
        <v>32</v>
      </c>
      <c r="F44" s="6" t="s">
        <v>41</v>
      </c>
    </row>
    <row r="45" spans="1:6" x14ac:dyDescent="0.35">
      <c r="A45" s="5">
        <v>46128</v>
      </c>
      <c r="B45" s="6" t="s">
        <v>79</v>
      </c>
      <c r="C45" s="7">
        <v>4750</v>
      </c>
      <c r="D45" s="7" t="s">
        <v>31</v>
      </c>
      <c r="E45" s="7" t="s">
        <v>32</v>
      </c>
      <c r="F45" s="6" t="s">
        <v>75</v>
      </c>
    </row>
    <row r="46" spans="1:6" x14ac:dyDescent="0.35">
      <c r="A46" s="5">
        <v>46125</v>
      </c>
      <c r="B46" s="6" t="s">
        <v>79</v>
      </c>
      <c r="C46" s="7">
        <v>-9275</v>
      </c>
      <c r="D46" s="7" t="s">
        <v>45</v>
      </c>
      <c r="E46" s="7" t="s">
        <v>32</v>
      </c>
      <c r="F46" s="6" t="s">
        <v>81</v>
      </c>
    </row>
    <row r="47" spans="1:6" x14ac:dyDescent="0.35">
      <c r="A47" s="3">
        <v>46144</v>
      </c>
      <c r="B47" s="21" t="s">
        <v>63</v>
      </c>
      <c r="C47" s="4">
        <v>20000</v>
      </c>
      <c r="D47" s="4" t="s">
        <v>31</v>
      </c>
      <c r="E47" s="4" t="s">
        <v>32</v>
      </c>
      <c r="F47" s="21" t="s">
        <v>41</v>
      </c>
    </row>
  </sheetData>
  <autoFilter ref="A1:F24" xr:uid="{B843CC5F-739E-45E9-AC65-8442CF552E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Details</vt:lpstr>
      <vt:lpstr>Reference Table</vt:lpstr>
      <vt:lpstr>Materials Total QTY</vt:lpstr>
      <vt:lpstr>Vendor Balance Sheet</vt:lpstr>
      <vt:lpstr>Payment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Jayabalan, Tamilselvan</dc:creator>
  <cp:lastModifiedBy>Tamilselvan Jayabalan</cp:lastModifiedBy>
  <dcterms:created xsi:type="dcterms:W3CDTF">2015-06-05T18:17:20Z</dcterms:created>
  <dcterms:modified xsi:type="dcterms:W3CDTF">2026-05-02T10:15:07Z</dcterms:modified>
</cp:coreProperties>
</file>