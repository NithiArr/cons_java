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Ar.Sivakumar_Echanari/Accounts/"/>
    </mc:Choice>
  </mc:AlternateContent>
  <xr:revisionPtr revIDLastSave="397" documentId="13_ncr:1_{349F2C27-9681-47B7-B172-26292C36693F}" xr6:coauthVersionLast="47" xr6:coauthVersionMax="47" xr10:uidLastSave="{F048709F-1499-40C4-B345-8EF5C1439EE8}"/>
  <bookViews>
    <workbookView xWindow="-110" yWindow="-110" windowWidth="19420" windowHeight="11500" activeTab="2" xr2:uid="{00000000-000D-0000-FFFF-FFFF00000000}"/>
  </bookViews>
  <sheets>
    <sheet name="Material Details" sheetId="1" r:id="rId1"/>
    <sheet name="Reference Table" sheetId="9" r:id="rId2"/>
    <sheet name="Materials Total QTY" sheetId="8" r:id="rId3"/>
    <sheet name="Vendor Balance Sheet" sheetId="5" r:id="rId4"/>
    <sheet name="Payment Details" sheetId="2" r:id="rId5"/>
  </sheets>
  <definedNames>
    <definedName name="_xlnm._FilterDatabase" localSheetId="0" hidden="1">'Material Details'!$A$1:$H$43</definedName>
    <definedName name="_xlnm._FilterDatabase" localSheetId="4" hidden="1">'Payment Details'!$A$1:$F$17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8" l="1"/>
  <c r="D10" i="8"/>
  <c r="H38" i="1"/>
  <c r="H37" i="1"/>
  <c r="H35" i="1"/>
  <c r="H36" i="1"/>
  <c r="H34" i="1"/>
  <c r="H29" i="1"/>
  <c r="H28" i="1"/>
  <c r="H26" i="1"/>
  <c r="H25" i="1"/>
  <c r="H24" i="1"/>
  <c r="H23" i="1"/>
  <c r="H21" i="1"/>
  <c r="H22" i="1"/>
  <c r="H19" i="1"/>
  <c r="H18" i="1"/>
  <c r="H17" i="1"/>
  <c r="H15" i="1"/>
  <c r="H16" i="1"/>
  <c r="H14" i="1"/>
  <c r="H11" i="1"/>
  <c r="H10" i="1"/>
  <c r="H8" i="1"/>
  <c r="H9" i="1"/>
  <c r="H7" i="1"/>
  <c r="H6" i="1"/>
  <c r="H5" i="1"/>
  <c r="H4" i="1"/>
  <c r="A2" i="8" a="1"/>
  <c r="A2" i="5" a="1"/>
  <c r="B9" i="5" s="1"/>
  <c r="C10" i="5" l="1"/>
  <c r="B10" i="5"/>
  <c r="C9" i="5"/>
  <c r="D9" i="5" s="1"/>
  <c r="B8" i="5"/>
  <c r="A2" i="8"/>
  <c r="D3" i="8"/>
  <c r="D4" i="8"/>
  <c r="D5" i="8"/>
  <c r="D6" i="8"/>
  <c r="D7" i="8"/>
  <c r="D8" i="8"/>
  <c r="D9" i="8"/>
  <c r="C8" i="5"/>
  <c r="B7" i="5"/>
  <c r="C7" i="5"/>
  <c r="B9" i="8"/>
  <c r="C3" i="5"/>
  <c r="C6" i="5"/>
  <c r="B6" i="5"/>
  <c r="B8" i="8"/>
  <c r="B7" i="8"/>
  <c r="B6" i="8"/>
  <c r="B5" i="8"/>
  <c r="B4" i="8"/>
  <c r="B3" i="8"/>
  <c r="A2" i="5"/>
  <c r="C5" i="5"/>
  <c r="B5" i="5"/>
  <c r="D10" i="5" l="1"/>
  <c r="D8" i="5"/>
  <c r="D2" i="8"/>
  <c r="B2" i="8"/>
  <c r="D7" i="5"/>
  <c r="D6" i="5"/>
  <c r="D5" i="5"/>
  <c r="C4" i="5" l="1"/>
  <c r="B3" i="5"/>
  <c r="D3" i="5" s="1"/>
  <c r="B4" i="5"/>
  <c r="C2" i="5" l="1"/>
  <c r="B2" i="5"/>
  <c r="D4" i="5"/>
  <c r="D2" i="5" l="1"/>
  <c r="D1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<sst xmlns="http://schemas.openxmlformats.org/spreadsheetml/2006/main" count="312" uniqueCount="59">
  <si>
    <t>DATE</t>
  </si>
  <si>
    <t>CATEGORY</t>
  </si>
  <si>
    <t>COMPANY</t>
  </si>
  <si>
    <t>DEALER</t>
  </si>
  <si>
    <t>QTY</t>
  </si>
  <si>
    <t>RATE</t>
  </si>
  <si>
    <t>AMOUNT PAID</t>
  </si>
  <si>
    <t>MODE OF PAYMENT</t>
  </si>
  <si>
    <t>TOTAL BILL AMOUNT</t>
  </si>
  <si>
    <t>MEASURING IN</t>
  </si>
  <si>
    <t>DESCRPTION</t>
  </si>
  <si>
    <t>STEEL</t>
  </si>
  <si>
    <t>KG</t>
  </si>
  <si>
    <t>CEMENT</t>
  </si>
  <si>
    <t>BAGS</t>
  </si>
  <si>
    <t>NOS</t>
  </si>
  <si>
    <t>UNITS</t>
  </si>
  <si>
    <t>M-SAND</t>
  </si>
  <si>
    <t>VIZAG</t>
  </si>
  <si>
    <t>40 MM METAL</t>
  </si>
  <si>
    <t>20 MM JALLY</t>
  </si>
  <si>
    <t>VENDOR NAME</t>
  </si>
  <si>
    <t>TOTAL AMOUNT PAID</t>
  </si>
  <si>
    <t>BALANCE AMOUNT</t>
  </si>
  <si>
    <t>GST BILL</t>
  </si>
  <si>
    <t>MATERIALS</t>
  </si>
  <si>
    <t>AK STEELS</t>
  </si>
  <si>
    <t>BRICK</t>
  </si>
  <si>
    <t>GRAVEL</t>
  </si>
  <si>
    <t>P-SAND</t>
  </si>
  <si>
    <t>ELECTRICAL</t>
  </si>
  <si>
    <t>KRISHNA</t>
  </si>
  <si>
    <t>RAMCO</t>
  </si>
  <si>
    <t>PALANI MURUGAN</t>
  </si>
  <si>
    <t>CASH</t>
  </si>
  <si>
    <t>YES</t>
  </si>
  <si>
    <t>Steel Part Payment</t>
  </si>
  <si>
    <t>NO</t>
  </si>
  <si>
    <t>Part Payment</t>
  </si>
  <si>
    <t>BRICK-FLYASH</t>
  </si>
  <si>
    <t>SV TRADERS</t>
  </si>
  <si>
    <t>ACB</t>
  </si>
  <si>
    <t>VEL BRICKS</t>
  </si>
  <si>
    <t>Brick Payment</t>
  </si>
  <si>
    <t>CHAKRA TRADERS</t>
  </si>
  <si>
    <t>Pending Amount</t>
  </si>
  <si>
    <t>Cement Part Paymnet</t>
  </si>
  <si>
    <t>Ak steel payment</t>
  </si>
  <si>
    <t>Cement Payment</t>
  </si>
  <si>
    <t>Transferred bal bricks to SK</t>
  </si>
  <si>
    <t>ACC</t>
  </si>
  <si>
    <t>Transferred by Vinoth Client</t>
  </si>
  <si>
    <t>TOTAL AMOUNT</t>
  </si>
  <si>
    <t>DURGA</t>
  </si>
  <si>
    <t>LOCAL</t>
  </si>
  <si>
    <t>AMARUN FLYASH</t>
  </si>
  <si>
    <t>Flyash Payment</t>
  </si>
  <si>
    <t>RAMDEV HARDWARES</t>
  </si>
  <si>
    <t>Full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</si>
</sst>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\-mmm\-yy;@"/>
    <numFmt numFmtId="165" formatCode="[$₹-4009]\ #,##0.00;[Red][$₹-4009]\ #,##0.00"/>
    <numFmt numFmtId="166" formatCode="dd/mm/yy"/>
    <numFmt numFmtId="167" formatCode="&quot;₹&quot;\ #,##0.00;[Red]&quot;₹&quot;\ #,##0.00"/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166" fontId="1" fillId="0" borderId="1" xfId="0" applyNumberFormat="1" applyFont="1" applyBorder="1"/>
    <xf numFmtId="166" fontId="0" fillId="0" borderId="0" xfId="0" applyNumberFormat="1"/>
    <xf numFmtId="167" fontId="0" fillId="0" borderId="0" xfId="0" applyNumberFormat="1"/>
    <xf numFmtId="166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167" fontId="1" fillId="0" borderId="1" xfId="0" applyNumberFormat="1" applyFont="1" applyBorder="1"/>
    <xf numFmtId="165" fontId="0" fillId="0" borderId="0" xfId="0" applyNumberFormat="1" applyAlignment="1">
      <alignment horizontal="center" vertical="center"/>
    </xf>
    <xf numFmtId="14" fontId="0" fillId="0" borderId="2" xfId="0" applyNumberFormat="1" applyBorder="1"/>
    <xf numFmtId="165" fontId="0" fillId="0" borderId="3" xfId="0" applyNumberFormat="1" applyBorder="1" applyAlignment="1">
      <alignment horizontal="center" vertical="center"/>
    </xf>
    <xf numFmtId="166" fontId="1" fillId="0" borderId="4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7" fontId="1" fillId="0" borderId="5" xfId="0" applyNumberFormat="1" applyFont="1" applyBorder="1"/>
    <xf numFmtId="165" fontId="1" fillId="0" borderId="6" xfId="0" applyNumberFormat="1" applyFont="1" applyBorder="1" applyAlignment="1">
      <alignment horizontal="center" vertical="center" wrapText="1"/>
    </xf>
    <xf numFmtId="14" fontId="0" fillId="0" borderId="7" xfId="0" applyNumberFormat="1" applyBorder="1"/>
    <xf numFmtId="0" fontId="0" fillId="0" borderId="8" xfId="0" applyBorder="1"/>
    <xf numFmtId="167" fontId="0" fillId="0" borderId="8" xfId="0" applyNumberFormat="1" applyBorder="1"/>
    <xf numFmtId="165" fontId="0" fillId="0" borderId="9" xfId="0" applyNumberFormat="1" applyBorder="1" applyAlignment="1">
      <alignment horizontal="center" vertical="center"/>
    </xf>
    <xf numFmtId="168" fontId="0" fillId="0" borderId="1" xfId="0" applyNumberFormat="1" applyBorder="1"/>
  </cellXfs>
  <cellStyles count="1">
    <cellStyle name="Normal" xfId="0" builtinId="0"/>
  </cellStyles>
  <dxfs count="12">
    <dxf>
      <numFmt numFmtId="165" formatCode="[$₹-4009]\ #,##0.00;[Red]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₹&quot;\ #,##0.00;[Red]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D82A3-5B23-4660-9970-660A3AD2E7A3}" name="Table1" displayName="Table1" ref="A1:H41" totalsRowShown="0" headerRowDxfId="11" headerRowBorderDxfId="10" tableBorderDxfId="9" totalsRowBorderDxfId="8">
  <autoFilter ref="A1:H41" xr:uid="{C98D82A3-5B23-4660-9970-660A3AD2E7A3}"/>
  <tableColumns count="8">
    <tableColumn id="1" xr3:uid="{29839E6D-9721-413F-B2A1-257A999278CF}" name="DATE" dataDxfId="7"/>
    <tableColumn id="2" xr3:uid="{4F093DBA-8C7A-4DCC-81B9-13C725A36358}" name="CATEGORY" dataDxfId="6"/>
    <tableColumn id="3" xr3:uid="{B921024A-8480-441B-B476-2B5E7AC21B8A}" name="COMPANY" dataDxfId="5"/>
    <tableColumn id="4" xr3:uid="{B36986A8-4671-40A4-BB91-63283D7A5E95}" name="DEALER" dataDxfId="4"/>
    <tableColumn id="5" xr3:uid="{1C0220CD-A28F-403E-9A30-D3A50503C64D}" name="QTY" dataDxfId="3"/>
    <tableColumn id="6" xr3:uid="{4D1CD0A2-84B1-4D83-B682-660EB291EBBE}" name="MEASURING IN" dataDxfId="2"/>
    <tableColumn id="7" xr3:uid="{477FD35F-6B4B-41DE-A036-582963A685E4}" name="RATE" dataDxfId="1"/>
    <tableColumn id="8" xr3:uid="{B07C94F1-8762-44EC-AFEE-1B1F176BFD59}" name="TOTAL BILL AMOUN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20" workbookViewId="0">
      <selection activeCell="B41" sqref="B41"/>
    </sheetView>
  </sheetViews>
  <sheetFormatPr defaultColWidth="25.26953125" defaultRowHeight="14.5" x14ac:dyDescent="0.35"/>
  <cols>
    <col min="1" max="1" width="10.08984375" style="3" bestFit="1" customWidth="1"/>
    <col min="2" max="2" width="13" bestFit="1" customWidth="1"/>
    <col min="3" max="3" width="13.08984375" bestFit="1" customWidth="1"/>
    <col min="4" max="4" width="20.54296875" bestFit="1" customWidth="1"/>
    <col min="5" max="5" width="6.81640625" bestFit="1" customWidth="1"/>
    <col min="6" max="6" width="15.7265625" bestFit="1" customWidth="1"/>
    <col min="7" max="7" width="9.26953125" style="4" bestFit="1" customWidth="1"/>
    <col min="8" max="8" width="22.90625" style="9" bestFit="1" customWidth="1"/>
  </cols>
  <sheetData>
    <row r="1" spans="1:8" x14ac:dyDescent="0.3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9</v>
      </c>
      <c r="G1" s="15" t="s">
        <v>5</v>
      </c>
      <c r="H1" s="16" t="s">
        <v>8</v>
      </c>
    </row>
    <row r="2" spans="1:8" x14ac:dyDescent="0.35">
      <c r="A2" s="10">
        <v>46055</v>
      </c>
      <c r="B2" s="6" t="s">
        <v>11</v>
      </c>
      <c r="C2" s="6" t="s">
        <v>18</v>
      </c>
      <c r="D2" s="6" t="s">
        <v>26</v>
      </c>
      <c r="E2" s="6">
        <v>1685</v>
      </c>
      <c r="F2" s="6" t="s">
        <v>12</v>
      </c>
      <c r="G2" s="7"/>
      <c r="H2" s="11">
        <v>133120</v>
      </c>
    </row>
    <row r="3" spans="1:8" x14ac:dyDescent="0.35">
      <c r="A3" s="10">
        <v>46056</v>
      </c>
      <c r="B3" s="6" t="s">
        <v>11</v>
      </c>
      <c r="C3" s="6" t="s">
        <v>18</v>
      </c>
      <c r="D3" s="6" t="s">
        <v>26</v>
      </c>
      <c r="E3" s="6">
        <v>880</v>
      </c>
      <c r="F3" s="6" t="s">
        <v>12</v>
      </c>
      <c r="G3" s="7"/>
      <c r="H3" s="11">
        <v>66200</v>
      </c>
    </row>
    <row r="4" spans="1:8" x14ac:dyDescent="0.35">
      <c r="A4" s="10">
        <v>46057</v>
      </c>
      <c r="B4" s="6" t="s">
        <v>17</v>
      </c>
      <c r="C4" s="6"/>
      <c r="D4" s="6" t="s">
        <v>31</v>
      </c>
      <c r="E4" s="6">
        <v>4</v>
      </c>
      <c r="F4" s="6" t="s">
        <v>16</v>
      </c>
      <c r="G4" s="7">
        <v>4750</v>
      </c>
      <c r="H4" s="11">
        <f>Table1[[#This Row],[QTY]]*Table1[[#This Row],[RATE]]</f>
        <v>19000</v>
      </c>
    </row>
    <row r="5" spans="1:8" x14ac:dyDescent="0.35">
      <c r="A5" s="10">
        <v>46057</v>
      </c>
      <c r="B5" s="6" t="s">
        <v>19</v>
      </c>
      <c r="C5" s="6"/>
      <c r="D5" s="6" t="s">
        <v>31</v>
      </c>
      <c r="E5" s="6">
        <v>2</v>
      </c>
      <c r="F5" s="6" t="s">
        <v>16</v>
      </c>
      <c r="G5" s="7">
        <v>4500</v>
      </c>
      <c r="H5" s="11">
        <f>Table1[[#This Row],[QTY]]*Table1[[#This Row],[RATE]]</f>
        <v>9000</v>
      </c>
    </row>
    <row r="6" spans="1:8" x14ac:dyDescent="0.35">
      <c r="A6" s="10">
        <v>46057</v>
      </c>
      <c r="B6" s="6" t="s">
        <v>13</v>
      </c>
      <c r="C6" s="6" t="s">
        <v>32</v>
      </c>
      <c r="D6" s="6" t="s">
        <v>33</v>
      </c>
      <c r="E6" s="6">
        <v>60</v>
      </c>
      <c r="F6" s="6" t="s">
        <v>14</v>
      </c>
      <c r="G6" s="7">
        <v>290</v>
      </c>
      <c r="H6" s="11">
        <f>Table1[[#This Row],[QTY]]*Table1[[#This Row],[RATE]]</f>
        <v>17400</v>
      </c>
    </row>
    <row r="7" spans="1:8" x14ac:dyDescent="0.35">
      <c r="A7" s="10">
        <v>46066</v>
      </c>
      <c r="B7" s="6" t="s">
        <v>13</v>
      </c>
      <c r="C7" s="6" t="s">
        <v>32</v>
      </c>
      <c r="D7" s="6" t="s">
        <v>33</v>
      </c>
      <c r="E7" s="6">
        <v>120</v>
      </c>
      <c r="F7" s="6" t="s">
        <v>14</v>
      </c>
      <c r="G7" s="7">
        <v>290</v>
      </c>
      <c r="H7" s="11">
        <f>Table1[[#This Row],[QTY]]*Table1[[#This Row],[RATE]]</f>
        <v>34800</v>
      </c>
    </row>
    <row r="8" spans="1:8" x14ac:dyDescent="0.35">
      <c r="A8" s="10">
        <v>46066</v>
      </c>
      <c r="B8" s="6" t="s">
        <v>17</v>
      </c>
      <c r="C8" s="6"/>
      <c r="D8" s="6" t="s">
        <v>31</v>
      </c>
      <c r="E8" s="6">
        <v>8</v>
      </c>
      <c r="F8" s="6" t="s">
        <v>16</v>
      </c>
      <c r="G8" s="7">
        <v>4750</v>
      </c>
      <c r="H8" s="11">
        <f>Table1[[#This Row],[QTY]]*Table1[[#This Row],[RATE]]</f>
        <v>38000</v>
      </c>
    </row>
    <row r="9" spans="1:8" x14ac:dyDescent="0.35">
      <c r="A9" s="10">
        <v>46066</v>
      </c>
      <c r="B9" s="6" t="s">
        <v>20</v>
      </c>
      <c r="C9" s="6"/>
      <c r="D9" s="6" t="s">
        <v>31</v>
      </c>
      <c r="E9" s="6">
        <v>12</v>
      </c>
      <c r="F9" s="6" t="s">
        <v>16</v>
      </c>
      <c r="G9" s="7">
        <v>4125</v>
      </c>
      <c r="H9" s="11">
        <f>Table1[[#This Row],[QTY]]*Table1[[#This Row],[RATE]]</f>
        <v>49500</v>
      </c>
    </row>
    <row r="10" spans="1:8" x14ac:dyDescent="0.35">
      <c r="A10" s="10">
        <v>46066</v>
      </c>
      <c r="B10" s="6" t="s">
        <v>13</v>
      </c>
      <c r="C10" s="6" t="s">
        <v>32</v>
      </c>
      <c r="D10" s="6" t="s">
        <v>33</v>
      </c>
      <c r="E10" s="6">
        <v>50</v>
      </c>
      <c r="F10" s="6" t="s">
        <v>14</v>
      </c>
      <c r="G10" s="7">
        <v>290</v>
      </c>
      <c r="H10" s="11">
        <f>Table1[[#This Row],[QTY]]*Table1[[#This Row],[RATE]]</f>
        <v>14500</v>
      </c>
    </row>
    <row r="11" spans="1:8" x14ac:dyDescent="0.35">
      <c r="A11" s="10">
        <v>46076</v>
      </c>
      <c r="B11" s="6" t="s">
        <v>39</v>
      </c>
      <c r="C11" s="6"/>
      <c r="D11" s="6" t="s">
        <v>40</v>
      </c>
      <c r="E11" s="6">
        <v>3000</v>
      </c>
      <c r="F11" s="6" t="s">
        <v>15</v>
      </c>
      <c r="G11" s="7">
        <v>7.5</v>
      </c>
      <c r="H11" s="11">
        <f>Table1[[#This Row],[QTY]]*Table1[[#This Row],[RATE]]</f>
        <v>22500</v>
      </c>
    </row>
    <row r="12" spans="1:8" x14ac:dyDescent="0.35">
      <c r="A12" s="10">
        <v>46077</v>
      </c>
      <c r="B12" s="6" t="s">
        <v>11</v>
      </c>
      <c r="C12" s="6" t="s">
        <v>18</v>
      </c>
      <c r="D12" s="6" t="s">
        <v>26</v>
      </c>
      <c r="E12" s="6">
        <v>786</v>
      </c>
      <c r="F12" s="6"/>
      <c r="G12" s="7"/>
      <c r="H12" s="11">
        <v>61000</v>
      </c>
    </row>
    <row r="13" spans="1:8" x14ac:dyDescent="0.35">
      <c r="A13" s="10">
        <v>46080</v>
      </c>
      <c r="B13" s="6" t="s">
        <v>11</v>
      </c>
      <c r="C13" s="6" t="s">
        <v>18</v>
      </c>
      <c r="D13" s="6" t="s">
        <v>26</v>
      </c>
      <c r="E13" s="6">
        <v>359</v>
      </c>
      <c r="F13" s="6"/>
      <c r="G13" s="7"/>
      <c r="H13" s="11">
        <v>29190</v>
      </c>
    </row>
    <row r="14" spans="1:8" x14ac:dyDescent="0.35">
      <c r="A14" s="10">
        <v>46084</v>
      </c>
      <c r="B14" s="6" t="s">
        <v>17</v>
      </c>
      <c r="C14" s="6"/>
      <c r="D14" s="6" t="s">
        <v>31</v>
      </c>
      <c r="E14" s="6">
        <v>4</v>
      </c>
      <c r="F14" s="6" t="s">
        <v>16</v>
      </c>
      <c r="G14" s="7">
        <v>4750</v>
      </c>
      <c r="H14" s="11">
        <f>Table1[[#This Row],[QTY]]*Table1[[#This Row],[RATE]]</f>
        <v>19000</v>
      </c>
    </row>
    <row r="15" spans="1:8" x14ac:dyDescent="0.35">
      <c r="A15" s="10">
        <v>46084</v>
      </c>
      <c r="B15" s="6" t="s">
        <v>20</v>
      </c>
      <c r="C15" s="6"/>
      <c r="D15" s="6" t="s">
        <v>31</v>
      </c>
      <c r="E15" s="6">
        <v>4</v>
      </c>
      <c r="F15" s="6" t="s">
        <v>16</v>
      </c>
      <c r="G15" s="7">
        <v>4125</v>
      </c>
      <c r="H15" s="11">
        <f>Table1[[#This Row],[QTY]]*Table1[[#This Row],[RATE]]</f>
        <v>16500</v>
      </c>
    </row>
    <row r="16" spans="1:8" x14ac:dyDescent="0.35">
      <c r="A16" s="10">
        <v>46084</v>
      </c>
      <c r="B16" s="6" t="s">
        <v>13</v>
      </c>
      <c r="C16" s="6" t="s">
        <v>32</v>
      </c>
      <c r="D16" s="6" t="s">
        <v>33</v>
      </c>
      <c r="E16" s="6">
        <v>50</v>
      </c>
      <c r="F16" s="6" t="s">
        <v>14</v>
      </c>
      <c r="G16" s="7">
        <v>290</v>
      </c>
      <c r="H16" s="11">
        <f>Table1[[#This Row],[QTY]]*Table1[[#This Row],[RATE]]</f>
        <v>14500</v>
      </c>
    </row>
    <row r="17" spans="1:8" x14ac:dyDescent="0.35">
      <c r="A17" s="10">
        <v>46085</v>
      </c>
      <c r="B17" s="6" t="s">
        <v>27</v>
      </c>
      <c r="C17" s="6" t="s">
        <v>41</v>
      </c>
      <c r="D17" s="6" t="s">
        <v>42</v>
      </c>
      <c r="E17" s="6">
        <v>3000</v>
      </c>
      <c r="F17" s="6" t="s">
        <v>15</v>
      </c>
      <c r="G17" s="7">
        <v>12</v>
      </c>
      <c r="H17" s="11">
        <f>Table1[[#This Row],[QTY]]*Table1[[#This Row],[RATE]]</f>
        <v>36000</v>
      </c>
    </row>
    <row r="18" spans="1:8" x14ac:dyDescent="0.35">
      <c r="A18" s="10">
        <v>46088</v>
      </c>
      <c r="B18" s="6" t="s">
        <v>13</v>
      </c>
      <c r="C18" s="6" t="s">
        <v>32</v>
      </c>
      <c r="D18" s="6" t="s">
        <v>33</v>
      </c>
      <c r="E18" s="6">
        <v>50</v>
      </c>
      <c r="F18" s="6" t="s">
        <v>14</v>
      </c>
      <c r="G18" s="7">
        <v>290</v>
      </c>
      <c r="H18" s="11">
        <f>Table1[[#This Row],[QTY]]*Table1[[#This Row],[RATE]]</f>
        <v>14500</v>
      </c>
    </row>
    <row r="19" spans="1:8" x14ac:dyDescent="0.35">
      <c r="A19" s="10">
        <v>46091</v>
      </c>
      <c r="B19" s="6" t="s">
        <v>29</v>
      </c>
      <c r="C19" s="6"/>
      <c r="D19" s="6" t="s">
        <v>31</v>
      </c>
      <c r="E19" s="6">
        <v>2</v>
      </c>
      <c r="F19" s="6" t="s">
        <v>16</v>
      </c>
      <c r="G19" s="7">
        <v>6000</v>
      </c>
      <c r="H19" s="11">
        <f>Table1[[#This Row],[QTY]]*Table1[[#This Row],[RATE]]</f>
        <v>12000</v>
      </c>
    </row>
    <row r="20" spans="1:8" x14ac:dyDescent="0.35">
      <c r="A20" s="10">
        <v>46101</v>
      </c>
      <c r="B20" s="6" t="s">
        <v>11</v>
      </c>
      <c r="C20" s="6" t="s">
        <v>18</v>
      </c>
      <c r="D20" s="6" t="s">
        <v>26</v>
      </c>
      <c r="E20" s="6"/>
      <c r="F20" s="6"/>
      <c r="G20" s="7"/>
      <c r="H20" s="11">
        <v>45630</v>
      </c>
    </row>
    <row r="21" spans="1:8" x14ac:dyDescent="0.35">
      <c r="A21" s="10">
        <v>46102</v>
      </c>
      <c r="B21" s="6" t="s">
        <v>17</v>
      </c>
      <c r="C21" s="6"/>
      <c r="D21" s="6" t="s">
        <v>31</v>
      </c>
      <c r="E21" s="6">
        <v>4</v>
      </c>
      <c r="F21" s="6" t="s">
        <v>16</v>
      </c>
      <c r="G21" s="7">
        <v>4750</v>
      </c>
      <c r="H21" s="11">
        <f>Table1[[#This Row],[QTY]]*Table1[[#This Row],[RATE]]</f>
        <v>19000</v>
      </c>
    </row>
    <row r="22" spans="1:8" x14ac:dyDescent="0.35">
      <c r="A22" s="10">
        <v>46102</v>
      </c>
      <c r="B22" s="6" t="s">
        <v>19</v>
      </c>
      <c r="C22" s="6"/>
      <c r="D22" s="6" t="s">
        <v>31</v>
      </c>
      <c r="E22" s="6">
        <v>4</v>
      </c>
      <c r="F22" s="6" t="s">
        <v>16</v>
      </c>
      <c r="G22" s="7">
        <v>4125</v>
      </c>
      <c r="H22" s="11">
        <f>Table1[[#This Row],[QTY]]*Table1[[#This Row],[RATE]]</f>
        <v>16500</v>
      </c>
    </row>
    <row r="23" spans="1:8" x14ac:dyDescent="0.35">
      <c r="A23" s="17">
        <v>46102</v>
      </c>
      <c r="B23" s="18" t="s">
        <v>13</v>
      </c>
      <c r="C23" s="18"/>
      <c r="D23" s="18" t="s">
        <v>44</v>
      </c>
      <c r="E23" s="18">
        <v>50</v>
      </c>
      <c r="F23" s="18" t="s">
        <v>14</v>
      </c>
      <c r="G23" s="19">
        <v>290</v>
      </c>
      <c r="H23" s="11">
        <f>Table1[[#This Row],[QTY]]*Table1[[#This Row],[RATE]]</f>
        <v>14500</v>
      </c>
    </row>
    <row r="24" spans="1:8" x14ac:dyDescent="0.35">
      <c r="A24" s="17">
        <v>46107</v>
      </c>
      <c r="B24" s="18" t="s">
        <v>39</v>
      </c>
      <c r="C24" s="18"/>
      <c r="D24" s="18" t="s">
        <v>55</v>
      </c>
      <c r="E24" s="18">
        <v>6000</v>
      </c>
      <c r="F24" s="18" t="s">
        <v>15</v>
      </c>
      <c r="G24" s="19">
        <v>8</v>
      </c>
      <c r="H24" s="20">
        <f>Table1[[#This Row],[QTY]]*Table1[[#This Row],[RATE]]</f>
        <v>48000</v>
      </c>
    </row>
    <row r="25" spans="1:8" x14ac:dyDescent="0.35">
      <c r="A25" s="10">
        <v>46111</v>
      </c>
      <c r="B25" s="6" t="s">
        <v>13</v>
      </c>
      <c r="C25" s="6" t="s">
        <v>32</v>
      </c>
      <c r="D25" s="6" t="s">
        <v>44</v>
      </c>
      <c r="E25" s="6">
        <v>50</v>
      </c>
      <c r="F25" s="6" t="s">
        <v>14</v>
      </c>
      <c r="G25" s="7">
        <v>290</v>
      </c>
      <c r="H25" s="11">
        <f>Table1[[#This Row],[QTY]]*Table1[[#This Row],[RATE]]</f>
        <v>14500</v>
      </c>
    </row>
    <row r="26" spans="1:8" x14ac:dyDescent="0.35">
      <c r="A26" s="10">
        <v>46112</v>
      </c>
      <c r="B26" s="6" t="s">
        <v>20</v>
      </c>
      <c r="C26" s="6"/>
      <c r="D26" s="6" t="s">
        <v>31</v>
      </c>
      <c r="E26" s="6">
        <v>4</v>
      </c>
      <c r="F26" s="6" t="s">
        <v>16</v>
      </c>
      <c r="G26" s="7">
        <v>4125</v>
      </c>
      <c r="H26" s="11">
        <f>Table1[[#This Row],[QTY]]*Table1[[#This Row],[RATE]]</f>
        <v>16500</v>
      </c>
    </row>
    <row r="27" spans="1:8" x14ac:dyDescent="0.35">
      <c r="A27" s="10">
        <v>46113</v>
      </c>
      <c r="B27" s="6" t="s">
        <v>11</v>
      </c>
      <c r="C27" s="6" t="s">
        <v>18</v>
      </c>
      <c r="D27" s="6" t="s">
        <v>26</v>
      </c>
      <c r="E27" s="6">
        <v>736</v>
      </c>
      <c r="F27" s="6" t="s">
        <v>12</v>
      </c>
      <c r="G27" s="7">
        <v>83.55</v>
      </c>
      <c r="H27" s="11">
        <v>61500</v>
      </c>
    </row>
    <row r="28" spans="1:8" x14ac:dyDescent="0.35">
      <c r="A28" s="10">
        <v>46120</v>
      </c>
      <c r="B28" s="18" t="s">
        <v>27</v>
      </c>
      <c r="C28" s="18"/>
      <c r="D28" s="18" t="s">
        <v>42</v>
      </c>
      <c r="E28" s="18">
        <v>-1600</v>
      </c>
      <c r="F28" s="18" t="s">
        <v>15</v>
      </c>
      <c r="G28" s="19">
        <v>12</v>
      </c>
      <c r="H28" s="11">
        <f>Table1[[#This Row],[QTY]]*Table1[[#This Row],[RATE]]</f>
        <v>-19200</v>
      </c>
    </row>
    <row r="29" spans="1:8" x14ac:dyDescent="0.35">
      <c r="A29" s="10">
        <v>46133</v>
      </c>
      <c r="B29" s="18" t="s">
        <v>17</v>
      </c>
      <c r="C29" s="18"/>
      <c r="D29" s="18" t="s">
        <v>31</v>
      </c>
      <c r="E29" s="18">
        <v>4</v>
      </c>
      <c r="F29" s="18" t="s">
        <v>16</v>
      </c>
      <c r="G29" s="19">
        <v>4750</v>
      </c>
      <c r="H29" s="11">
        <f>Table1[[#This Row],[RATE]]*Table1[[#This Row],[QTY]]</f>
        <v>19000</v>
      </c>
    </row>
    <row r="30" spans="1:8" x14ac:dyDescent="0.35">
      <c r="A30" s="17">
        <v>46133</v>
      </c>
      <c r="B30" s="18" t="s">
        <v>11</v>
      </c>
      <c r="C30" s="18" t="s">
        <v>18</v>
      </c>
      <c r="D30" s="18" t="s">
        <v>26</v>
      </c>
      <c r="E30" s="18">
        <v>1706</v>
      </c>
      <c r="F30" s="18" t="s">
        <v>12</v>
      </c>
      <c r="G30" s="19"/>
      <c r="H30" s="20">
        <v>136170</v>
      </c>
    </row>
    <row r="31" spans="1:8" x14ac:dyDescent="0.35">
      <c r="A31" s="10">
        <v>46142</v>
      </c>
      <c r="B31" s="6" t="s">
        <v>11</v>
      </c>
      <c r="C31" s="6" t="s">
        <v>53</v>
      </c>
      <c r="D31" s="6" t="s">
        <v>54</v>
      </c>
      <c r="E31" s="6">
        <v>46.6</v>
      </c>
      <c r="F31" s="6" t="s">
        <v>12</v>
      </c>
      <c r="G31" s="7">
        <v>70</v>
      </c>
      <c r="H31" s="20">
        <v>3270</v>
      </c>
    </row>
    <row r="32" spans="1:8" x14ac:dyDescent="0.35">
      <c r="A32" s="17">
        <v>46143</v>
      </c>
      <c r="B32" s="18" t="s">
        <v>11</v>
      </c>
      <c r="C32" s="18" t="s">
        <v>18</v>
      </c>
      <c r="D32" s="18" t="s">
        <v>26</v>
      </c>
      <c r="E32" s="18">
        <v>464</v>
      </c>
      <c r="F32" s="18" t="s">
        <v>12</v>
      </c>
      <c r="G32" s="19"/>
      <c r="H32" s="20">
        <v>39420</v>
      </c>
    </row>
    <row r="33" spans="1:8" x14ac:dyDescent="0.35">
      <c r="A33" s="10">
        <v>46144</v>
      </c>
      <c r="B33" s="6" t="s">
        <v>30</v>
      </c>
      <c r="C33" s="6"/>
      <c r="D33" s="6" t="s">
        <v>57</v>
      </c>
      <c r="E33" s="6"/>
      <c r="F33" s="6"/>
      <c r="G33" s="7"/>
      <c r="H33" s="11">
        <v>10837</v>
      </c>
    </row>
    <row r="34" spans="1:8" x14ac:dyDescent="0.35">
      <c r="A34" s="17">
        <v>46146</v>
      </c>
      <c r="B34" s="18" t="s">
        <v>13</v>
      </c>
      <c r="C34" s="18" t="s">
        <v>32</v>
      </c>
      <c r="D34" s="18" t="s">
        <v>44</v>
      </c>
      <c r="E34" s="18">
        <v>150</v>
      </c>
      <c r="F34" s="18" t="s">
        <v>14</v>
      </c>
      <c r="G34" s="19">
        <v>335</v>
      </c>
      <c r="H34" s="20">
        <f>Table1[[#This Row],[QTY]]*Table1[[#This Row],[RATE]]</f>
        <v>50250</v>
      </c>
    </row>
    <row r="35" spans="1:8" x14ac:dyDescent="0.35">
      <c r="A35" s="17">
        <v>46146</v>
      </c>
      <c r="B35" s="18" t="s">
        <v>17</v>
      </c>
      <c r="C35" s="18"/>
      <c r="D35" s="18" t="s">
        <v>31</v>
      </c>
      <c r="E35" s="18">
        <v>4</v>
      </c>
      <c r="F35" s="18" t="s">
        <v>16</v>
      </c>
      <c r="G35" s="19">
        <v>4750</v>
      </c>
      <c r="H35" s="20">
        <f>Table1[[#This Row],[QTY]]*Table1[[#This Row],[RATE]]</f>
        <v>19000</v>
      </c>
    </row>
    <row r="36" spans="1:8" x14ac:dyDescent="0.35">
      <c r="A36" s="17">
        <v>46146</v>
      </c>
      <c r="B36" s="6" t="s">
        <v>20</v>
      </c>
      <c r="C36" s="6"/>
      <c r="D36" s="6" t="s">
        <v>31</v>
      </c>
      <c r="E36" s="6">
        <v>4</v>
      </c>
      <c r="F36" s="6" t="s">
        <v>16</v>
      </c>
      <c r="G36" s="7">
        <v>4125</v>
      </c>
      <c r="H36" s="20">
        <f>Table1[[#This Row],[QTY]]*Table1[[#This Row],[RATE]]</f>
        <v>16500</v>
      </c>
    </row>
    <row r="37" spans="1:8" x14ac:dyDescent="0.35">
      <c r="A37" s="17">
        <v>46158</v>
      </c>
      <c r="B37" s="18" t="s">
        <v>39</v>
      </c>
      <c r="C37" s="18"/>
      <c r="D37" s="18" t="s">
        <v>40</v>
      </c>
      <c r="E37" s="18">
        <v>1500</v>
      </c>
      <c r="F37" s="18" t="s">
        <v>15</v>
      </c>
      <c r="G37" s="19">
        <v>8.5</v>
      </c>
      <c r="H37" s="11">
        <f>Table1[[#This Row],[QTY]]*Table1[[#This Row],[RATE]]</f>
        <v>12750</v>
      </c>
    </row>
    <row r="38" spans="1:8" x14ac:dyDescent="0.35">
      <c r="A38" s="17">
        <v>46174</v>
      </c>
      <c r="B38" s="18" t="s">
        <v>39</v>
      </c>
      <c r="C38" s="18"/>
      <c r="D38" s="18" t="s">
        <v>55</v>
      </c>
      <c r="E38" s="18">
        <v>3000</v>
      </c>
      <c r="F38" s="18" t="s">
        <v>15</v>
      </c>
      <c r="G38" s="19">
        <v>8.3000000000000007</v>
      </c>
      <c r="H38" s="20">
        <f>Table1[[#This Row],[QTY]]*Table1[[#This Row],[RATE]]</f>
        <v>24900.000000000004</v>
      </c>
    </row>
    <row r="39" spans="1:8" x14ac:dyDescent="0.35">
      <c r="A39" s="17">
        <v>46146</v>
      </c>
      <c r="B39" s="18" t="s">
        <v>11</v>
      </c>
      <c r="C39" s="18" t="s">
        <v>18</v>
      </c>
      <c r="D39" s="18" t="s">
        <v>26</v>
      </c>
      <c r="E39" s="18">
        <v>1420</v>
      </c>
      <c r="F39" s="18" t="s">
        <v>12</v>
      </c>
      <c r="G39" s="19"/>
      <c r="H39" s="20">
        <v>107070</v>
      </c>
    </row>
    <row r="40" spans="1:8" x14ac:dyDescent="0.35">
      <c r="A40" s="10">
        <v>46179</v>
      </c>
      <c r="B40" s="6" t="s">
        <v>11</v>
      </c>
      <c r="C40" s="6" t="s">
        <v>18</v>
      </c>
      <c r="D40" s="6" t="s">
        <v>26</v>
      </c>
      <c r="E40" s="6">
        <v>209</v>
      </c>
      <c r="F40" s="6" t="s">
        <v>12</v>
      </c>
      <c r="G40" s="7"/>
      <c r="H40" s="11">
        <v>16640</v>
      </c>
    </row>
    <row r="41" spans="1:8" x14ac:dyDescent="0.35">
      <c r="A41" s="10"/>
      <c r="B41" s="6"/>
      <c r="C41" s="6"/>
      <c r="D41" s="6"/>
      <c r="E41" s="6"/>
      <c r="F41" s="6"/>
      <c r="G41" s="7"/>
      <c r="H41" s="11"/>
    </row>
    <row r="42" spans="1:8" x14ac:dyDescent="0.35">
      <c r="A42"/>
    </row>
    <row r="43" spans="1:8" x14ac:dyDescent="0.35">
      <c r="A43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8FAF00-9354-4524-9D93-5B9F6BB3534C}">
          <x14:formula1>
            <xm:f>'Reference Table'!$A$2:$A$25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D8E7-2C2E-4C89-B38E-C74186D29A9E}">
  <dimension ref="A1:C24"/>
  <sheetViews>
    <sheetView workbookViewId="0">
      <selection activeCell="D7" sqref="D7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9.26953125" bestFit="1" customWidth="1"/>
  </cols>
  <sheetData>
    <row r="1" spans="1:3" x14ac:dyDescent="0.35">
      <c r="A1" s="1" t="s">
        <v>1</v>
      </c>
      <c r="B1" s="1" t="s">
        <v>9</v>
      </c>
      <c r="C1" s="8" t="s">
        <v>5</v>
      </c>
    </row>
    <row r="2" spans="1:3" x14ac:dyDescent="0.35">
      <c r="A2" s="6" t="s">
        <v>17</v>
      </c>
      <c r="B2" s="6" t="s">
        <v>16</v>
      </c>
      <c r="C2" s="7">
        <v>5125</v>
      </c>
    </row>
    <row r="3" spans="1:3" x14ac:dyDescent="0.35">
      <c r="A3" s="6" t="s">
        <v>19</v>
      </c>
      <c r="B3" s="6" t="s">
        <v>16</v>
      </c>
      <c r="C3" s="7">
        <v>4450</v>
      </c>
    </row>
    <row r="4" spans="1:3" x14ac:dyDescent="0.35">
      <c r="A4" s="6" t="s">
        <v>27</v>
      </c>
      <c r="B4" s="6" t="s">
        <v>15</v>
      </c>
      <c r="C4" s="7">
        <v>7.2</v>
      </c>
    </row>
    <row r="5" spans="1:3" x14ac:dyDescent="0.35">
      <c r="A5" s="6" t="s">
        <v>20</v>
      </c>
      <c r="B5" s="6" t="s">
        <v>16</v>
      </c>
      <c r="C5" s="7">
        <v>4450</v>
      </c>
    </row>
    <row r="6" spans="1:3" x14ac:dyDescent="0.35">
      <c r="A6" s="6" t="s">
        <v>29</v>
      </c>
      <c r="B6" s="6" t="s">
        <v>16</v>
      </c>
      <c r="C6" s="7">
        <v>5950</v>
      </c>
    </row>
    <row r="7" spans="1:3" x14ac:dyDescent="0.35">
      <c r="A7" s="6" t="s">
        <v>28</v>
      </c>
      <c r="B7" s="6" t="s">
        <v>16</v>
      </c>
      <c r="C7" s="7">
        <v>2200</v>
      </c>
    </row>
    <row r="8" spans="1:3" x14ac:dyDescent="0.35">
      <c r="A8" s="6" t="s">
        <v>13</v>
      </c>
      <c r="B8" s="6" t="s">
        <v>14</v>
      </c>
      <c r="C8" s="6"/>
    </row>
    <row r="9" spans="1:3" x14ac:dyDescent="0.35">
      <c r="A9" s="6" t="s">
        <v>11</v>
      </c>
      <c r="B9" s="6" t="s">
        <v>12</v>
      </c>
      <c r="C9" s="6"/>
    </row>
    <row r="10" spans="1:3" x14ac:dyDescent="0.35">
      <c r="A10" s="6" t="s">
        <v>30</v>
      </c>
      <c r="B10" s="6"/>
      <c r="C10" s="6"/>
    </row>
    <row r="11" spans="1:3" x14ac:dyDescent="0.35">
      <c r="A11" s="6" t="s">
        <v>39</v>
      </c>
      <c r="B11" s="6"/>
      <c r="C11" s="6"/>
    </row>
    <row r="24" ht="13.5" customHeigh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2B97-F8EC-489B-AAAD-008E3D44EA2D}">
  <dimension ref="A1:D11"/>
  <sheetViews>
    <sheetView tabSelected="1" workbookViewId="0">
      <selection activeCell="C6" sqref="C6"/>
    </sheetView>
  </sheetViews>
  <sheetFormatPr defaultRowHeight="14.5" x14ac:dyDescent="0.35"/>
  <cols>
    <col min="1" max="1" width="13" bestFit="1" customWidth="1"/>
    <col min="3" max="3" width="13.453125" bestFit="1" customWidth="1"/>
    <col min="4" max="4" width="14.54296875" style="4" bestFit="1" customWidth="1"/>
  </cols>
  <sheetData>
    <row r="1" spans="1:4" x14ac:dyDescent="0.35">
      <c r="A1" s="1" t="s">
        <v>25</v>
      </c>
      <c r="B1" s="1" t="s">
        <v>4</v>
      </c>
      <c r="C1" s="1" t="s">
        <v>9</v>
      </c>
      <c r="D1" s="8" t="s">
        <v>52</v>
      </c>
    </row>
    <row r="2" spans="1:4" x14ac:dyDescent="0.35">
      <c r="A2" s="6" t="str" cm="1">
        <f t="array" ref="A2:A11">_xlfn.UNIQUE('Material Details'!B2:B1010)</f>
        <v>STEEL</v>
      </c>
      <c r="B2" s="6">
        <f>SUMIF('Material Details'!B2:B1010,A2,'Material Details'!E2:E1010)</f>
        <v>8291.6</v>
      </c>
      <c r="C2" s="6" t="s">
        <v>12</v>
      </c>
      <c r="D2" s="7">
        <f>SUMIF('Material Details'!B2:B1010,A2,'Material Details'!H2:H1010)</f>
        <v>699210</v>
      </c>
    </row>
    <row r="3" spans="1:4" x14ac:dyDescent="0.35">
      <c r="A3" s="6" t="str">
        <v>M-SAND</v>
      </c>
      <c r="B3" s="6">
        <f>SUMIF('Material Details'!B3:B1011,A3,'Material Details'!E3:E1011)</f>
        <v>28</v>
      </c>
      <c r="C3" s="6" t="s">
        <v>16</v>
      </c>
      <c r="D3" s="7">
        <f>SUMIF('Material Details'!B3:B1011,A3,'Material Details'!H3:H1011)</f>
        <v>133000</v>
      </c>
    </row>
    <row r="4" spans="1:4" x14ac:dyDescent="0.35">
      <c r="A4" s="6" t="str">
        <v>40 MM METAL</v>
      </c>
      <c r="B4" s="6">
        <f>SUMIF('Material Details'!B4:B1012,A4,'Material Details'!E4:E1012)</f>
        <v>6</v>
      </c>
      <c r="C4" s="6" t="s">
        <v>16</v>
      </c>
      <c r="D4" s="7">
        <f>SUMIF('Material Details'!B4:B1012,A4,'Material Details'!H4:H1012)</f>
        <v>25500</v>
      </c>
    </row>
    <row r="5" spans="1:4" x14ac:dyDescent="0.35">
      <c r="A5" s="6" t="str">
        <v>CEMENT</v>
      </c>
      <c r="B5" s="6">
        <f>SUMIF('Material Details'!B5:B1013,A5,'Material Details'!E5:E1013)</f>
        <v>580</v>
      </c>
      <c r="C5" s="6" t="s">
        <v>14</v>
      </c>
      <c r="D5" s="7">
        <f>SUMIF('Material Details'!B5:B1013,A5,'Material Details'!H5:H1013)</f>
        <v>174950</v>
      </c>
    </row>
    <row r="6" spans="1:4" x14ac:dyDescent="0.35">
      <c r="A6" s="6" t="str">
        <v>20 MM JALLY</v>
      </c>
      <c r="B6" s="6">
        <f>SUMIF('Material Details'!B6:B1014,A6,'Material Details'!E6:E1014)</f>
        <v>24</v>
      </c>
      <c r="C6" s="6" t="s">
        <v>16</v>
      </c>
      <c r="D6" s="7">
        <f>SUMIF('Material Details'!B6:B1014,A6,'Material Details'!H6:H1014)</f>
        <v>99000</v>
      </c>
    </row>
    <row r="7" spans="1:4" x14ac:dyDescent="0.35">
      <c r="A7" s="6" t="str">
        <v>BRICK-FLYASH</v>
      </c>
      <c r="B7" s="6">
        <f>SUMIF('Material Details'!B7:B1015,A7,'Material Details'!E7:E1015)</f>
        <v>13500</v>
      </c>
      <c r="C7" s="6" t="s">
        <v>16</v>
      </c>
      <c r="D7" s="7">
        <f>SUMIF('Material Details'!B7:B1015,A7,'Material Details'!H7:H1015)</f>
        <v>108150</v>
      </c>
    </row>
    <row r="8" spans="1:4" x14ac:dyDescent="0.35">
      <c r="A8" s="6" t="str">
        <v>BRICK</v>
      </c>
      <c r="B8" s="6">
        <f>SUMIF('Material Details'!B9:B1016,A8,'Material Details'!E9:E1016)</f>
        <v>1400</v>
      </c>
      <c r="C8" s="6" t="s">
        <v>16</v>
      </c>
      <c r="D8" s="7">
        <f>SUMIF('Material Details'!B8:B1016,A8,'Material Details'!H8:H1016)</f>
        <v>16800</v>
      </c>
    </row>
    <row r="9" spans="1:4" x14ac:dyDescent="0.35">
      <c r="A9" s="6" t="str">
        <v>P-SAND</v>
      </c>
      <c r="B9" s="6">
        <f>SUMIF('Material Details'!B10:B1017,A9,'Material Details'!E10:E1017)</f>
        <v>2</v>
      </c>
      <c r="C9" s="6" t="s">
        <v>16</v>
      </c>
      <c r="D9" s="7">
        <f>SUMIF('Material Details'!B9:B1017,A9,'Material Details'!H9:H1017)</f>
        <v>12000</v>
      </c>
    </row>
    <row r="10" spans="1:4" x14ac:dyDescent="0.35">
      <c r="A10" t="str">
        <v>ELECTRICAL</v>
      </c>
      <c r="B10" s="6">
        <f>SUMIF('Material Details'!B11:B1018,A10,'Material Details'!E11:E1018)</f>
        <v>0</v>
      </c>
      <c r="C10" s="6" t="s">
        <v>16</v>
      </c>
      <c r="D10" s="7">
        <f>SUMIF('Material Details'!B10:B1018,A10,'Material Details'!H10:H1018)</f>
        <v>10837</v>
      </c>
    </row>
    <row r="11" spans="1:4" x14ac:dyDescent="0.35">
      <c r="A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97B0-05D6-4BCA-A61B-0D246D1FF2DE}">
  <dimension ref="A1:D13"/>
  <sheetViews>
    <sheetView workbookViewId="0">
      <selection activeCell="D10" sqref="D10"/>
    </sheetView>
  </sheetViews>
  <sheetFormatPr defaultRowHeight="14.5" x14ac:dyDescent="0.35"/>
  <cols>
    <col min="1" max="1" width="20.54296875" bestFit="1" customWidth="1"/>
    <col min="2" max="2" width="18.36328125" style="4" bestFit="1" customWidth="1"/>
    <col min="3" max="3" width="19.08984375" style="4" bestFit="1" customWidth="1"/>
    <col min="4" max="4" width="16.81640625" style="4" bestFit="1" customWidth="1"/>
  </cols>
  <sheetData>
    <row r="1" spans="1:4" x14ac:dyDescent="0.35">
      <c r="A1" s="1" t="s">
        <v>21</v>
      </c>
      <c r="B1" s="8" t="s">
        <v>8</v>
      </c>
      <c r="C1" s="8" t="s">
        <v>22</v>
      </c>
      <c r="D1" s="8" t="s">
        <v>23</v>
      </c>
    </row>
    <row r="2" spans="1:4" x14ac:dyDescent="0.35">
      <c r="A2" s="6" t="str" cm="1">
        <f t="array" ref="A2:A11">_xlfn.UNIQUE('Material Details'!D2:D1010)</f>
        <v>AK STEELS</v>
      </c>
      <c r="B2" s="7">
        <f>SUMIF('Material Details'!D2:D1010,A2,'Material Details'!H2:H1010)</f>
        <v>695940</v>
      </c>
      <c r="C2" s="7">
        <f>SUMIF('Payment Details'!B2:B991,'Vendor Balance Sheet'!A2,'Payment Details'!C2:C991)</f>
        <v>565000</v>
      </c>
      <c r="D2" s="7">
        <f>B2-C2</f>
        <v>130940</v>
      </c>
    </row>
    <row r="3" spans="1:4" x14ac:dyDescent="0.35">
      <c r="A3" s="6" t="str">
        <v>KRISHNA</v>
      </c>
      <c r="B3" s="7">
        <f>SUMIF('Material Details'!D2:D1010,A3,'Material Details'!H2:H1010)</f>
        <v>269500</v>
      </c>
      <c r="C3" s="7">
        <f>SUMIF('Payment Details'!B2:B992,'Vendor Balance Sheet'!A3,'Payment Details'!C2:C992)</f>
        <v>255000</v>
      </c>
      <c r="D3" s="7">
        <f t="shared" ref="D3:D6" si="0">B3-C3</f>
        <v>14500</v>
      </c>
    </row>
    <row r="4" spans="1:4" x14ac:dyDescent="0.35">
      <c r="A4" s="6" t="str">
        <v>PALANI MURUGAN</v>
      </c>
      <c r="B4" s="7">
        <f>SUMIF('Material Details'!D3:D1011,A4,'Material Details'!H3:H1011)</f>
        <v>95700</v>
      </c>
      <c r="C4" s="7">
        <f>SUMIF('Payment Details'!B2:B991,'Vendor Balance Sheet'!A4,'Payment Details'!C2:C991)</f>
        <v>95700</v>
      </c>
      <c r="D4" s="7">
        <f t="shared" si="0"/>
        <v>0</v>
      </c>
    </row>
    <row r="5" spans="1:4" x14ac:dyDescent="0.35">
      <c r="A5" s="6" t="str">
        <v>SV TRADERS</v>
      </c>
      <c r="B5" s="7">
        <f>SUMIF('Material Details'!D4:D1012,A5,'Material Details'!H4:H1012)</f>
        <v>35250</v>
      </c>
      <c r="C5" s="7">
        <f>SUMIF('Payment Details'!B2:B992,'Vendor Balance Sheet'!A5,'Payment Details'!C2:C992)</f>
        <v>35250</v>
      </c>
      <c r="D5" s="7">
        <f t="shared" si="0"/>
        <v>0</v>
      </c>
    </row>
    <row r="6" spans="1:4" x14ac:dyDescent="0.35">
      <c r="A6" s="6" t="str">
        <v>VEL BRICKS</v>
      </c>
      <c r="B6" s="7">
        <f>SUMIF('Material Details'!D5:D1013,A6,'Material Details'!H5:H1013)</f>
        <v>16800</v>
      </c>
      <c r="C6" s="7">
        <f>SUMIF('Payment Details'!B3:B993,'Vendor Balance Sheet'!A6,'Payment Details'!C3:C993)</f>
        <v>16800</v>
      </c>
      <c r="D6" s="7">
        <f t="shared" si="0"/>
        <v>0</v>
      </c>
    </row>
    <row r="7" spans="1:4" x14ac:dyDescent="0.35">
      <c r="A7" s="6" t="str">
        <v>CHAKRA TRADERS</v>
      </c>
      <c r="B7" s="7">
        <f>SUMIF('Material Details'!D6:D1014,A7,'Material Details'!H6:H1014)</f>
        <v>79250</v>
      </c>
      <c r="C7" s="7">
        <f>SUMIF('Payment Details'!B4:B994,'Vendor Balance Sheet'!A7,'Payment Details'!C4:C994)</f>
        <v>79250</v>
      </c>
      <c r="D7" s="7">
        <f t="shared" ref="D7" si="1">B7-C7</f>
        <v>0</v>
      </c>
    </row>
    <row r="8" spans="1:4" x14ac:dyDescent="0.35">
      <c r="A8" s="6" t="str">
        <v>AMARUN FLYASH</v>
      </c>
      <c r="B8" s="7">
        <f>SUMIF('Material Details'!D7:D1015,A8,'Material Details'!H7:H1015)</f>
        <v>72900</v>
      </c>
      <c r="C8" s="7">
        <f>SUMIF('Payment Details'!B5:B995,'Vendor Balance Sheet'!A8,'Payment Details'!C5:C995)</f>
        <v>72900</v>
      </c>
      <c r="D8" s="7">
        <f t="shared" ref="D8" si="2">B8-C8</f>
        <v>0</v>
      </c>
    </row>
    <row r="9" spans="1:4" x14ac:dyDescent="0.35">
      <c r="A9" s="6" t="str">
        <v>LOCAL</v>
      </c>
      <c r="B9" s="7">
        <f>SUMIF('Material Details'!D8:D1016,A9,'Material Details'!H8:H1016)</f>
        <v>3270</v>
      </c>
      <c r="C9" s="7">
        <f>SUMIF('Payment Details'!B6:B996,'Vendor Balance Sheet'!A9,'Payment Details'!C6:C996)</f>
        <v>0</v>
      </c>
      <c r="D9" s="7">
        <f t="shared" ref="D9:D10" si="3">B9-C9</f>
        <v>3270</v>
      </c>
    </row>
    <row r="10" spans="1:4" x14ac:dyDescent="0.35">
      <c r="A10" s="6" t="str">
        <v>RAMDEV HARDWARES</v>
      </c>
      <c r="B10" s="7">
        <f>SUMIF('Material Details'!D9:D1017,A10,'Material Details'!H9:H1017)</f>
        <v>10837</v>
      </c>
      <c r="C10" s="7">
        <f>SUMIF('Payment Details'!B7:B997,'Vendor Balance Sheet'!A10,'Payment Details'!C7:C997)</f>
        <v>8000</v>
      </c>
      <c r="D10" s="7">
        <f t="shared" si="3"/>
        <v>2837</v>
      </c>
    </row>
    <row r="11" spans="1:4" x14ac:dyDescent="0.35">
      <c r="A11">
        <v>0</v>
      </c>
    </row>
    <row r="13" spans="1:4" x14ac:dyDescent="0.35">
      <c r="D13" s="4">
        <f>SUM(D2:D12)</f>
        <v>151547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CC5F-739E-45E9-AC65-8442CF552E38}">
  <dimension ref="A1:F33"/>
  <sheetViews>
    <sheetView topLeftCell="A15" workbookViewId="0">
      <selection activeCell="A24" sqref="A24:F33"/>
    </sheetView>
  </sheetViews>
  <sheetFormatPr defaultRowHeight="14.5" x14ac:dyDescent="0.35"/>
  <cols>
    <col min="1" max="1" width="8.7265625" style="3"/>
    <col min="2" max="2" width="20.54296875" bestFit="1" customWidth="1"/>
    <col min="3" max="3" width="13.1796875" style="4" bestFit="1" customWidth="1"/>
    <col min="4" max="4" width="17.81640625" style="4" bestFit="1" customWidth="1"/>
    <col min="5" max="5" width="7.7265625" style="4" bestFit="1" customWidth="1"/>
    <col min="6" max="6" width="53.453125" bestFit="1" customWidth="1"/>
  </cols>
  <sheetData>
    <row r="1" spans="1:6" x14ac:dyDescent="0.35">
      <c r="A1" s="2" t="s">
        <v>0</v>
      </c>
      <c r="B1" s="1" t="s">
        <v>21</v>
      </c>
      <c r="C1" s="8" t="s">
        <v>6</v>
      </c>
      <c r="D1" s="8" t="s">
        <v>7</v>
      </c>
      <c r="E1" s="8" t="s">
        <v>24</v>
      </c>
      <c r="F1" s="1" t="s">
        <v>10</v>
      </c>
    </row>
    <row r="2" spans="1:6" x14ac:dyDescent="0.35">
      <c r="A2" s="5">
        <v>46060</v>
      </c>
      <c r="B2" s="6" t="s">
        <v>26</v>
      </c>
      <c r="C2" s="7">
        <v>195000</v>
      </c>
      <c r="D2" s="7" t="s">
        <v>34</v>
      </c>
      <c r="E2" s="7" t="s">
        <v>35</v>
      </c>
      <c r="F2" s="7" t="s">
        <v>36</v>
      </c>
    </row>
    <row r="3" spans="1:6" x14ac:dyDescent="0.35">
      <c r="A3" s="5">
        <v>46060</v>
      </c>
      <c r="B3" s="6" t="s">
        <v>31</v>
      </c>
      <c r="C3" s="7">
        <v>20000</v>
      </c>
      <c r="D3" s="7" t="s">
        <v>34</v>
      </c>
      <c r="E3" s="7" t="s">
        <v>37</v>
      </c>
      <c r="F3" s="7" t="s">
        <v>38</v>
      </c>
    </row>
    <row r="4" spans="1:6" x14ac:dyDescent="0.35">
      <c r="A4" s="5">
        <v>46067</v>
      </c>
      <c r="B4" s="6" t="s">
        <v>31</v>
      </c>
      <c r="C4" s="7">
        <v>50000</v>
      </c>
      <c r="D4" s="7" t="s">
        <v>34</v>
      </c>
      <c r="E4" s="7" t="s">
        <v>37</v>
      </c>
      <c r="F4" s="7" t="s">
        <v>38</v>
      </c>
    </row>
    <row r="5" spans="1:6" x14ac:dyDescent="0.35">
      <c r="A5" s="5">
        <v>46071</v>
      </c>
      <c r="B5" s="6" t="s">
        <v>33</v>
      </c>
      <c r="C5" s="7">
        <v>50000</v>
      </c>
      <c r="D5" s="7" t="s">
        <v>34</v>
      </c>
      <c r="E5" s="7" t="s">
        <v>35</v>
      </c>
      <c r="F5" s="7" t="s">
        <v>38</v>
      </c>
    </row>
    <row r="6" spans="1:6" x14ac:dyDescent="0.35">
      <c r="A6" s="5">
        <v>46081</v>
      </c>
      <c r="B6" s="6" t="s">
        <v>40</v>
      </c>
      <c r="C6" s="7">
        <v>20000</v>
      </c>
      <c r="D6" s="7" t="s">
        <v>34</v>
      </c>
      <c r="E6" s="7" t="s">
        <v>37</v>
      </c>
      <c r="F6" s="7" t="s">
        <v>38</v>
      </c>
    </row>
    <row r="7" spans="1:6" x14ac:dyDescent="0.35">
      <c r="A7" s="5">
        <v>46088</v>
      </c>
      <c r="B7" s="6" t="s">
        <v>33</v>
      </c>
      <c r="C7" s="7">
        <v>20000</v>
      </c>
      <c r="D7" s="7" t="s">
        <v>34</v>
      </c>
      <c r="E7" s="7" t="s">
        <v>35</v>
      </c>
      <c r="F7" s="7" t="s">
        <v>38</v>
      </c>
    </row>
    <row r="8" spans="1:6" x14ac:dyDescent="0.35">
      <c r="A8" s="5">
        <v>46088</v>
      </c>
      <c r="B8" s="6" t="s">
        <v>31</v>
      </c>
      <c r="C8" s="7">
        <v>30000</v>
      </c>
      <c r="D8" s="7" t="s">
        <v>34</v>
      </c>
      <c r="E8" s="7" t="s">
        <v>37</v>
      </c>
      <c r="F8" s="7" t="s">
        <v>38</v>
      </c>
    </row>
    <row r="9" spans="1:6" x14ac:dyDescent="0.35">
      <c r="A9" s="5">
        <v>46088</v>
      </c>
      <c r="B9" s="6" t="s">
        <v>42</v>
      </c>
      <c r="C9" s="7">
        <v>36000</v>
      </c>
      <c r="D9" s="7" t="s">
        <v>34</v>
      </c>
      <c r="E9" s="7" t="s">
        <v>37</v>
      </c>
      <c r="F9" s="7" t="s">
        <v>43</v>
      </c>
    </row>
    <row r="10" spans="1:6" x14ac:dyDescent="0.35">
      <c r="A10" s="5">
        <v>46088</v>
      </c>
      <c r="B10" s="6" t="s">
        <v>26</v>
      </c>
      <c r="C10" s="7">
        <v>50000</v>
      </c>
      <c r="D10" s="7" t="s">
        <v>34</v>
      </c>
      <c r="E10" s="7" t="s">
        <v>35</v>
      </c>
      <c r="F10" s="7" t="s">
        <v>36</v>
      </c>
    </row>
    <row r="11" spans="1:6" x14ac:dyDescent="0.35">
      <c r="A11" s="5">
        <v>46102</v>
      </c>
      <c r="B11" s="6" t="s">
        <v>31</v>
      </c>
      <c r="C11" s="7">
        <v>50000</v>
      </c>
      <c r="D11" s="7" t="s">
        <v>34</v>
      </c>
      <c r="E11" s="7" t="s">
        <v>37</v>
      </c>
      <c r="F11" s="7" t="s">
        <v>38</v>
      </c>
    </row>
    <row r="12" spans="1:6" x14ac:dyDescent="0.35">
      <c r="A12" s="5">
        <v>46102</v>
      </c>
      <c r="B12" s="6" t="s">
        <v>40</v>
      </c>
      <c r="C12" s="7">
        <v>2500</v>
      </c>
      <c r="D12" s="7" t="s">
        <v>34</v>
      </c>
      <c r="E12" s="7" t="s">
        <v>37</v>
      </c>
      <c r="F12" s="7" t="s">
        <v>45</v>
      </c>
    </row>
    <row r="13" spans="1:6" x14ac:dyDescent="0.35">
      <c r="A13" s="5">
        <v>46102</v>
      </c>
      <c r="B13" s="6" t="s">
        <v>44</v>
      </c>
      <c r="C13" s="7">
        <v>8000</v>
      </c>
      <c r="D13" s="7" t="s">
        <v>34</v>
      </c>
      <c r="E13" s="7" t="s">
        <v>35</v>
      </c>
      <c r="F13" s="7" t="s">
        <v>46</v>
      </c>
    </row>
    <row r="14" spans="1:6" x14ac:dyDescent="0.35">
      <c r="A14" s="5">
        <v>46109</v>
      </c>
      <c r="B14" s="6" t="s">
        <v>26</v>
      </c>
      <c r="C14" s="7">
        <v>20000</v>
      </c>
      <c r="D14" s="7" t="s">
        <v>34</v>
      </c>
      <c r="E14" s="7" t="s">
        <v>35</v>
      </c>
      <c r="F14" s="7" t="s">
        <v>47</v>
      </c>
    </row>
    <row r="15" spans="1:6" x14ac:dyDescent="0.35">
      <c r="A15" s="5">
        <v>46109</v>
      </c>
      <c r="B15" s="6" t="s">
        <v>44</v>
      </c>
      <c r="C15" s="7">
        <v>6500</v>
      </c>
      <c r="D15" s="7" t="s">
        <v>34</v>
      </c>
      <c r="E15" s="7" t="s">
        <v>35</v>
      </c>
      <c r="F15" s="7" t="s">
        <v>48</v>
      </c>
    </row>
    <row r="16" spans="1:6" x14ac:dyDescent="0.35">
      <c r="A16" s="5">
        <v>46109</v>
      </c>
      <c r="B16" s="6" t="s">
        <v>55</v>
      </c>
      <c r="C16" s="7">
        <v>48000</v>
      </c>
      <c r="D16" s="7" t="s">
        <v>34</v>
      </c>
      <c r="E16" s="7" t="s">
        <v>37</v>
      </c>
      <c r="F16" s="7" t="s">
        <v>45</v>
      </c>
    </row>
    <row r="17" spans="1:6" x14ac:dyDescent="0.35">
      <c r="A17" s="5">
        <v>46109</v>
      </c>
      <c r="B17" s="6" t="s">
        <v>31</v>
      </c>
      <c r="C17" s="7">
        <v>30000</v>
      </c>
      <c r="D17" s="7" t="s">
        <v>34</v>
      </c>
      <c r="E17" s="7" t="s">
        <v>37</v>
      </c>
      <c r="F17" s="7" t="s">
        <v>38</v>
      </c>
    </row>
    <row r="18" spans="1:6" x14ac:dyDescent="0.35">
      <c r="A18" s="5">
        <v>46120</v>
      </c>
      <c r="B18" s="6" t="s">
        <v>42</v>
      </c>
      <c r="C18" s="21">
        <v>-19200</v>
      </c>
      <c r="D18" s="7" t="s">
        <v>34</v>
      </c>
      <c r="E18" s="7" t="s">
        <v>37</v>
      </c>
      <c r="F18" s="7" t="s">
        <v>49</v>
      </c>
    </row>
    <row r="19" spans="1:6" x14ac:dyDescent="0.35">
      <c r="A19" s="5">
        <v>46123</v>
      </c>
      <c r="B19" s="6" t="s">
        <v>26</v>
      </c>
      <c r="C19" s="7">
        <v>100000</v>
      </c>
      <c r="D19" s="7" t="s">
        <v>50</v>
      </c>
      <c r="E19" s="7" t="s">
        <v>35</v>
      </c>
      <c r="F19" s="7" t="s">
        <v>51</v>
      </c>
    </row>
    <row r="20" spans="1:6" x14ac:dyDescent="0.35">
      <c r="A20" s="5">
        <v>46128</v>
      </c>
      <c r="B20" s="6" t="s">
        <v>44</v>
      </c>
      <c r="C20" s="7">
        <v>14500</v>
      </c>
      <c r="D20" s="7" t="s">
        <v>50</v>
      </c>
      <c r="E20" s="7" t="s">
        <v>35</v>
      </c>
      <c r="F20" s="7" t="s">
        <v>48</v>
      </c>
    </row>
    <row r="21" spans="1:6" x14ac:dyDescent="0.35">
      <c r="A21" s="5">
        <v>46137</v>
      </c>
      <c r="B21" s="6" t="s">
        <v>26</v>
      </c>
      <c r="C21" s="7">
        <v>100000</v>
      </c>
      <c r="D21" s="7" t="s">
        <v>50</v>
      </c>
      <c r="E21" s="7" t="s">
        <v>35</v>
      </c>
      <c r="F21" s="7" t="s">
        <v>38</v>
      </c>
    </row>
    <row r="22" spans="1:6" x14ac:dyDescent="0.35">
      <c r="A22" s="5">
        <v>46137</v>
      </c>
      <c r="B22" s="6" t="s">
        <v>33</v>
      </c>
      <c r="C22" s="7">
        <v>15000</v>
      </c>
      <c r="D22" s="7" t="s">
        <v>50</v>
      </c>
      <c r="E22" s="7" t="s">
        <v>35</v>
      </c>
      <c r="F22" s="7" t="s">
        <v>38</v>
      </c>
    </row>
    <row r="23" spans="1:6" x14ac:dyDescent="0.35">
      <c r="A23" s="5">
        <v>46144</v>
      </c>
      <c r="B23" s="6" t="s">
        <v>26</v>
      </c>
      <c r="C23" s="7">
        <v>100000</v>
      </c>
      <c r="D23" s="7" t="s">
        <v>50</v>
      </c>
      <c r="E23" s="7" t="s">
        <v>35</v>
      </c>
      <c r="F23" s="7" t="s">
        <v>38</v>
      </c>
    </row>
    <row r="24" spans="1:6" x14ac:dyDescent="0.35">
      <c r="A24" s="5">
        <v>46144</v>
      </c>
      <c r="B24" s="6" t="s">
        <v>33</v>
      </c>
      <c r="C24" s="7">
        <v>10000</v>
      </c>
      <c r="D24" s="7" t="s">
        <v>50</v>
      </c>
      <c r="E24" s="7" t="s">
        <v>35</v>
      </c>
      <c r="F24" s="7" t="s">
        <v>38</v>
      </c>
    </row>
    <row r="25" spans="1:6" x14ac:dyDescent="0.35">
      <c r="A25" s="5">
        <v>46151</v>
      </c>
      <c r="B25" s="6" t="s">
        <v>31</v>
      </c>
      <c r="C25" s="7">
        <v>50000</v>
      </c>
      <c r="D25" s="7" t="s">
        <v>34</v>
      </c>
      <c r="E25" s="7" t="s">
        <v>37</v>
      </c>
      <c r="F25" s="7" t="s">
        <v>38</v>
      </c>
    </row>
    <row r="26" spans="1:6" x14ac:dyDescent="0.35">
      <c r="A26" s="5">
        <v>46151</v>
      </c>
      <c r="B26" s="6" t="s">
        <v>44</v>
      </c>
      <c r="C26" s="7">
        <v>46000</v>
      </c>
      <c r="D26" s="7" t="s">
        <v>50</v>
      </c>
      <c r="E26" s="7" t="s">
        <v>35</v>
      </c>
      <c r="F26" s="7" t="s">
        <v>38</v>
      </c>
    </row>
    <row r="27" spans="1:6" x14ac:dyDescent="0.35">
      <c r="A27" s="5">
        <v>46158</v>
      </c>
      <c r="B27" s="6" t="s">
        <v>40</v>
      </c>
      <c r="C27" s="7">
        <v>12750</v>
      </c>
      <c r="D27" s="7" t="s">
        <v>34</v>
      </c>
      <c r="E27" s="7" t="s">
        <v>37</v>
      </c>
      <c r="F27" s="7" t="s">
        <v>56</v>
      </c>
    </row>
    <row r="28" spans="1:6" x14ac:dyDescent="0.35">
      <c r="A28" s="5">
        <v>46158</v>
      </c>
      <c r="B28" s="6" t="s">
        <v>31</v>
      </c>
      <c r="C28" s="7">
        <v>25000</v>
      </c>
      <c r="D28" s="7" t="s">
        <v>34</v>
      </c>
      <c r="E28" s="7" t="s">
        <v>37</v>
      </c>
      <c r="F28" s="7" t="s">
        <v>38</v>
      </c>
    </row>
    <row r="29" spans="1:6" x14ac:dyDescent="0.35">
      <c r="A29" s="5">
        <v>46158</v>
      </c>
      <c r="B29" s="6" t="s">
        <v>33</v>
      </c>
      <c r="C29" s="7">
        <v>700</v>
      </c>
      <c r="D29" s="7" t="s">
        <v>34</v>
      </c>
      <c r="E29" s="7" t="s">
        <v>35</v>
      </c>
      <c r="F29" s="7" t="s">
        <v>45</v>
      </c>
    </row>
    <row r="30" spans="1:6" x14ac:dyDescent="0.35">
      <c r="A30" s="5">
        <v>46172</v>
      </c>
      <c r="B30" s="6" t="s">
        <v>44</v>
      </c>
      <c r="C30" s="7">
        <v>4250</v>
      </c>
      <c r="D30" s="7" t="s">
        <v>34</v>
      </c>
      <c r="E30" s="7" t="s">
        <v>35</v>
      </c>
      <c r="F30" s="7" t="s">
        <v>45</v>
      </c>
    </row>
    <row r="31" spans="1:6" x14ac:dyDescent="0.35">
      <c r="A31" s="5">
        <v>46172</v>
      </c>
      <c r="B31" s="6" t="s">
        <v>57</v>
      </c>
      <c r="C31" s="7">
        <v>5000</v>
      </c>
      <c r="D31" s="7" t="s">
        <v>34</v>
      </c>
      <c r="E31" s="7" t="s">
        <v>35</v>
      </c>
      <c r="F31" s="7" t="s">
        <v>38</v>
      </c>
    </row>
    <row r="32" spans="1:6" x14ac:dyDescent="0.35">
      <c r="A32" s="5">
        <v>46179</v>
      </c>
      <c r="B32" s="6" t="s">
        <v>57</v>
      </c>
      <c r="C32" s="7">
        <v>3000</v>
      </c>
      <c r="D32" s="7" t="s">
        <v>34</v>
      </c>
      <c r="E32" s="7" t="s">
        <v>35</v>
      </c>
      <c r="F32" s="7" t="s">
        <v>38</v>
      </c>
    </row>
    <row r="33" spans="1:6" x14ac:dyDescent="0.35">
      <c r="A33" s="5">
        <v>46179</v>
      </c>
      <c r="B33" s="6" t="s">
        <v>55</v>
      </c>
      <c r="C33" s="7">
        <v>24900</v>
      </c>
      <c r="D33" s="7" t="s">
        <v>34</v>
      </c>
      <c r="E33" s="7" t="s">
        <v>37</v>
      </c>
      <c r="F33" s="7" t="s">
        <v>58</v>
      </c>
    </row>
  </sheetData>
  <autoFilter ref="A1:F17" xr:uid="{B843CC5F-739E-45E9-AC65-8442CF552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Details</vt:lpstr>
      <vt:lpstr>Reference Table</vt:lpstr>
      <vt:lpstr>Materials Total QTY</vt:lpstr>
      <vt:lpstr>Vendor Balance Sheet</vt:lpstr>
      <vt:lpstr>Payment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Jayabalan, Tamilselvan</dc:creator>
  <cp:lastModifiedBy>Tamilselvan Jayabalan</cp:lastModifiedBy>
  <dcterms:created xsi:type="dcterms:W3CDTF">2015-06-05T18:17:20Z</dcterms:created>
  <dcterms:modified xsi:type="dcterms:W3CDTF">2026-06-07T13:21:13Z</dcterms:modified>
</cp:coreProperties>
</file>