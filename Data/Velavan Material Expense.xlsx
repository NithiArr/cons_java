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Vellavan Site Saravanampatty/Accounts/"/>
    </mc:Choice>
  </mc:AlternateContent>
  <xr:revisionPtr revIDLastSave="117" documentId="13_ncr:1_{C19A66FE-B7FE-414A-9AFE-7C8069596151}" xr6:coauthVersionLast="47" xr6:coauthVersionMax="47" xr10:uidLastSave="{B8EC244A-221E-41B3-93AD-7F60B6B9F6D9}"/>
  <bookViews>
    <workbookView xWindow="-110" yWindow="-110" windowWidth="19420" windowHeight="11500" firstSheet="1" activeTab="4" xr2:uid="{00000000-000D-0000-FFFF-FFFF00000000}"/>
  </bookViews>
  <sheets>
    <sheet name="Material Details" sheetId="1" r:id="rId1"/>
    <sheet name="Reference Table" sheetId="9" r:id="rId2"/>
    <sheet name="Materials Total QTY" sheetId="8" r:id="rId3"/>
    <sheet name="Vendor Balance Sheet" sheetId="5" r:id="rId4"/>
    <sheet name="Payment Details" sheetId="2" r:id="rId5"/>
  </sheets>
  <definedNames>
    <definedName name="_xlnm._FilterDatabase" localSheetId="0" hidden="1">'Material Details'!$A$1:$H$55</definedName>
    <definedName name="_xlnm._FilterDatabase" localSheetId="4" hidden="1">'Payment Details'!$A$1:$F$23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7" i="1" l="1"/>
  <c r="H56" i="1"/>
  <c r="H55" i="1"/>
  <c r="H53" i="1"/>
  <c r="H51" i="1"/>
  <c r="H50" i="1"/>
  <c r="H48" i="1"/>
  <c r="H46" i="1"/>
  <c r="H45" i="1"/>
  <c r="H44" i="1"/>
  <c r="H43" i="1"/>
  <c r="H42" i="1"/>
  <c r="H40" i="1"/>
  <c r="H39" i="1"/>
  <c r="H38" i="1"/>
  <c r="H37" i="1"/>
  <c r="H36" i="1"/>
  <c r="H7" i="1"/>
  <c r="H2" i="1"/>
  <c r="H3" i="1"/>
  <c r="H4" i="1"/>
  <c r="H5" i="1"/>
  <c r="H6" i="1"/>
  <c r="H8" i="1"/>
  <c r="H10" i="1"/>
  <c r="H11" i="1"/>
  <c r="H12" i="1"/>
  <c r="H13" i="1"/>
  <c r="H14" i="1"/>
  <c r="H15" i="1"/>
  <c r="H16" i="1"/>
  <c r="H17" i="1"/>
  <c r="H20" i="1"/>
  <c r="H21" i="1"/>
  <c r="H22" i="1"/>
  <c r="H23" i="1"/>
  <c r="H24" i="1"/>
  <c r="H25" i="1"/>
  <c r="H26" i="1"/>
  <c r="H27" i="1"/>
  <c r="H28" i="1"/>
  <c r="H30" i="1"/>
  <c r="H31" i="1"/>
  <c r="H32" i="1"/>
  <c r="H33" i="1"/>
  <c r="F56" i="1"/>
  <c r="A2" i="8" a="1"/>
  <c r="A2" i="5" a="1"/>
  <c r="C10" i="5" s="1"/>
  <c r="A2" i="8" l="1"/>
  <c r="D3" i="8"/>
  <c r="D4" i="8"/>
  <c r="D5" i="8"/>
  <c r="D6" i="8"/>
  <c r="D7" i="8"/>
  <c r="D8" i="8"/>
  <c r="D9" i="8"/>
  <c r="D10" i="8"/>
  <c r="B11" i="5"/>
  <c r="C11" i="5"/>
  <c r="B10" i="8"/>
  <c r="B10" i="5"/>
  <c r="D10" i="5" s="1"/>
  <c r="B9" i="5"/>
  <c r="C9" i="5"/>
  <c r="B8" i="5"/>
  <c r="C8" i="5"/>
  <c r="C6" i="5"/>
  <c r="C7" i="5"/>
  <c r="B7" i="5"/>
  <c r="B6" i="5"/>
  <c r="B9" i="8"/>
  <c r="B8" i="8"/>
  <c r="B7" i="8"/>
  <c r="B6" i="8"/>
  <c r="B5" i="8"/>
  <c r="B4" i="8"/>
  <c r="B3" i="8"/>
  <c r="A2" i="5"/>
  <c r="C2" i="5" s="1"/>
  <c r="C5" i="5"/>
  <c r="B5" i="5"/>
  <c r="D2" i="8" l="1"/>
  <c r="B2" i="8"/>
  <c r="D11" i="5"/>
  <c r="D9" i="5"/>
  <c r="D8" i="5"/>
  <c r="D6" i="5"/>
  <c r="D7" i="5"/>
  <c r="D5" i="5"/>
  <c r="C3" i="5" l="1"/>
  <c r="C4" i="5" l="1"/>
  <c r="B3" i="5"/>
  <c r="D3" i="5" s="1"/>
  <c r="B4" i="5"/>
  <c r="B2" i="5" l="1"/>
  <c r="D4" i="5"/>
  <c r="D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<sst xmlns="http://schemas.openxmlformats.org/spreadsheetml/2006/main" count="402" uniqueCount="71">
  <si>
    <t>DATE</t>
  </si>
  <si>
    <t>CATEGORY</t>
  </si>
  <si>
    <t>COMPANY</t>
  </si>
  <si>
    <t>DEALER</t>
  </si>
  <si>
    <t>QTY</t>
  </si>
  <si>
    <t>RATE</t>
  </si>
  <si>
    <t>AMOUNT PAID</t>
  </si>
  <si>
    <t>MODE OF PAYMENT</t>
  </si>
  <si>
    <t>TOTAL BILL AMOUNT</t>
  </si>
  <si>
    <t>MEASURING IN</t>
  </si>
  <si>
    <t>DESCRPTION</t>
  </si>
  <si>
    <t>STEEL</t>
  </si>
  <si>
    <t>KG</t>
  </si>
  <si>
    <t>CEMENT</t>
  </si>
  <si>
    <t>BAGS</t>
  </si>
  <si>
    <t>NOS</t>
  </si>
  <si>
    <t>UNITS</t>
  </si>
  <si>
    <t>M-SAND</t>
  </si>
  <si>
    <t>40 MM METAL</t>
  </si>
  <si>
    <t>20 MM JALLY</t>
  </si>
  <si>
    <t>BRICK-FLYASH</t>
  </si>
  <si>
    <t>VENDOR NAME</t>
  </si>
  <si>
    <t>TOTAL AMOUNT PAID</t>
  </si>
  <si>
    <t>BALANCE AMOUNT</t>
  </si>
  <si>
    <t>GST BILL</t>
  </si>
  <si>
    <t>YES</t>
  </si>
  <si>
    <t>P-SAND</t>
  </si>
  <si>
    <t>MATERIALS</t>
  </si>
  <si>
    <t>CASH</t>
  </si>
  <si>
    <t>GRAVEL</t>
  </si>
  <si>
    <t>AK STEELS</t>
  </si>
  <si>
    <t>ELECTRICAL</t>
  </si>
  <si>
    <t>PLUMBING</t>
  </si>
  <si>
    <t>Steel part payment</t>
  </si>
  <si>
    <t>TATA</t>
  </si>
  <si>
    <t>RSK</t>
  </si>
  <si>
    <t>ULTRATECH</t>
  </si>
  <si>
    <t>PALANI MURUGAN</t>
  </si>
  <si>
    <t>VEL BRICKS</t>
  </si>
  <si>
    <t>NO</t>
  </si>
  <si>
    <t>Brick 12000 nos</t>
  </si>
  <si>
    <t>RSK part payment</t>
  </si>
  <si>
    <t>Steel pensding closed</t>
  </si>
  <si>
    <t>Part Payment</t>
  </si>
  <si>
    <t>SS TRADERS</t>
  </si>
  <si>
    <t>Cement Purchase Local</t>
  </si>
  <si>
    <t>KRISHNA</t>
  </si>
  <si>
    <t>Steel part payment(UPI50k from SK Deepa)</t>
  </si>
  <si>
    <t>Gravel Part Payment</t>
  </si>
  <si>
    <t>NV ASSOCIATES</t>
  </si>
  <si>
    <t>Steel Payment</t>
  </si>
  <si>
    <t>ACC</t>
  </si>
  <si>
    <t>Cement Part Payment</t>
  </si>
  <si>
    <t>Cement Payment</t>
  </si>
  <si>
    <t>Gravel Payment</t>
  </si>
  <si>
    <t>BRICK-RED</t>
  </si>
  <si>
    <t>ACB</t>
  </si>
  <si>
    <t>Cement  Payment</t>
  </si>
  <si>
    <t>Gravel payment</t>
  </si>
  <si>
    <t>ANJENEYA</t>
  </si>
  <si>
    <t>Steel Part Payment</t>
  </si>
  <si>
    <t>Gravel payement closed</t>
  </si>
  <si>
    <t>Steel Amount</t>
  </si>
  <si>
    <t>CHAKRA TRADERS</t>
  </si>
  <si>
    <t>Pending amount</t>
  </si>
  <si>
    <t>1,50,000 ACC 50K Cash</t>
  </si>
  <si>
    <t>RAMDEV HARDWARES</t>
  </si>
  <si>
    <t>KAVERY</t>
  </si>
  <si>
    <t>TOTAL AMOUNT</t>
  </si>
  <si>
    <t>Brick 10000 nos</t>
  </si>
  <si>
    <t>Balance amt 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</si>
</sst>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₹-4009]\ #,##0.00;[Red][$₹-4009]\ #,##0.00"/>
    <numFmt numFmtId="166" formatCode="dd/mm/yy"/>
    <numFmt numFmtId="167" formatCode="&quot;₹&quot;\ #,##0.00;[Red]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/>
    <xf numFmtId="166" fontId="1" fillId="0" borderId="1" xfId="0" applyNumberFormat="1" applyFont="1" applyBorder="1"/>
    <xf numFmtId="166" fontId="0" fillId="0" borderId="0" xfId="0" applyNumberFormat="1"/>
    <xf numFmtId="167" fontId="0" fillId="0" borderId="0" xfId="0" applyNumberFormat="1"/>
    <xf numFmtId="166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167" fontId="1" fillId="0" borderId="1" xfId="0" applyNumberFormat="1" applyFont="1" applyBorder="1"/>
    <xf numFmtId="165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1" xfId="0" applyNumberFormat="1" applyBorder="1"/>
    <xf numFmtId="165" fontId="0" fillId="0" borderId="0" xfId="0" applyNumberFormat="1"/>
    <xf numFmtId="14" fontId="0" fillId="0" borderId="3" xfId="0" applyNumberFormat="1" applyBorder="1"/>
    <xf numFmtId="165" fontId="0" fillId="0" borderId="4" xfId="0" applyNumberFormat="1" applyBorder="1" applyAlignment="1">
      <alignment horizontal="center" vertical="center"/>
    </xf>
    <xf numFmtId="164" fontId="1" fillId="0" borderId="2" xfId="0" applyNumberFormat="1" applyFont="1" applyBorder="1"/>
    <xf numFmtId="0" fontId="1" fillId="0" borderId="2" xfId="0" applyFont="1" applyBorder="1"/>
    <xf numFmtId="167" fontId="1" fillId="0" borderId="2" xfId="0" applyNumberFormat="1" applyFont="1" applyBorder="1"/>
    <xf numFmtId="165" fontId="1" fillId="0" borderId="6" xfId="0" applyNumberFormat="1" applyFont="1" applyBorder="1" applyAlignment="1">
      <alignment horizontal="center" vertical="center" wrapText="1"/>
    </xf>
    <xf numFmtId="14" fontId="1" fillId="0" borderId="5" xfId="0" applyNumberFormat="1" applyFont="1" applyBorder="1"/>
    <xf numFmtId="14" fontId="0" fillId="0" borderId="0" xfId="0" applyNumberFormat="1"/>
    <xf numFmtId="14" fontId="0" fillId="0" borderId="8" xfId="0" applyNumberFormat="1" applyBorder="1"/>
    <xf numFmtId="0" fontId="0" fillId="0" borderId="9" xfId="0" applyBorder="1"/>
    <xf numFmtId="167" fontId="0" fillId="0" borderId="9" xfId="0" applyNumberFormat="1" applyBorder="1"/>
    <xf numFmtId="165" fontId="0" fillId="0" borderId="7" xfId="0" applyNumberFormat="1" applyBorder="1" applyAlignment="1">
      <alignment horizontal="center" vertical="center"/>
    </xf>
    <xf numFmtId="0" fontId="0" fillId="0" borderId="1" xfId="0" applyFill="1" applyBorder="1"/>
  </cellXfs>
  <cellStyles count="1">
    <cellStyle name="Normal" xfId="0" builtinId="0"/>
  </cellStyles>
  <dxfs count="12">
    <dxf>
      <numFmt numFmtId="165" formatCode="[$₹-4009]\ #,##0.00;[Red]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₹&quot;\ #,##0.00;[Red]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D2E53F-6541-41FB-91C7-D7E8725F965D}" name="Table1" displayName="Table1" ref="A1:H55" totalsRowShown="0" headerRowDxfId="11" headerRowBorderDxfId="10" tableBorderDxfId="9" totalsRowBorderDxfId="8">
  <autoFilter ref="A1:H55" xr:uid="{67D2E53F-6541-41FB-91C7-D7E8725F965D}"/>
  <tableColumns count="8">
    <tableColumn id="1" xr3:uid="{894AC193-C6A5-4C4B-A650-854B8B2E2FAB}" name="DATE" dataDxfId="7"/>
    <tableColumn id="2" xr3:uid="{39DDB82A-D9C4-4F5B-AAB4-22268B47616D}" name="CATEGORY" dataDxfId="6"/>
    <tableColumn id="3" xr3:uid="{E7EA3319-6F63-4BA6-82DC-108B2281BE3E}" name="COMPANY" dataDxfId="5"/>
    <tableColumn id="4" xr3:uid="{40474BDB-09C6-4291-8485-88ED2DB327A8}" name="DEALER" dataDxfId="4"/>
    <tableColumn id="5" xr3:uid="{CB829E3A-9EC5-4D1D-9F28-E1792E266221}" name="QTY" dataDxfId="3"/>
    <tableColumn id="6" xr3:uid="{3D0C8E35-46C8-4969-B5E4-EEF0B5E60C92}" name="MEASURING IN" dataDxfId="2"/>
    <tableColumn id="7" xr3:uid="{8BC22E42-A530-4286-9FB0-CE1683F233D7}" name="RATE" dataDxfId="1"/>
    <tableColumn id="8" xr3:uid="{DEF3EE7D-9E38-46F2-84D5-E88C61FE20E2}" name="TOTAL BILL AMOUNT" dataDxfId="0">
      <calculatedColumnFormula>Table1[[#This Row],[QTY]]*Table1[[#This Row],[RATE]]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7"/>
  <sheetViews>
    <sheetView topLeftCell="A37" workbookViewId="0">
      <selection activeCell="A47" sqref="A47:H57"/>
    </sheetView>
  </sheetViews>
  <sheetFormatPr defaultColWidth="25.26953125" defaultRowHeight="14.5" x14ac:dyDescent="0.35"/>
  <cols>
    <col min="1" max="1" width="10.08984375" style="20" bestFit="1" customWidth="1"/>
    <col min="2" max="2" width="13" bestFit="1" customWidth="1"/>
    <col min="3" max="3" width="13.08984375" bestFit="1" customWidth="1"/>
    <col min="4" max="4" width="20.54296875" bestFit="1" customWidth="1"/>
    <col min="5" max="5" width="6.81640625" bestFit="1" customWidth="1"/>
    <col min="6" max="6" width="15.7265625" bestFit="1" customWidth="1"/>
    <col min="7" max="7" width="10.26953125" style="4" bestFit="1" customWidth="1"/>
    <col min="8" max="8" width="22.90625" style="10" bestFit="1" customWidth="1"/>
  </cols>
  <sheetData>
    <row r="1" spans="1:10" x14ac:dyDescent="0.35">
      <c r="A1" s="19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6" t="s">
        <v>9</v>
      </c>
      <c r="G1" s="17" t="s">
        <v>5</v>
      </c>
      <c r="H1" s="18" t="s">
        <v>8</v>
      </c>
    </row>
    <row r="2" spans="1:10" x14ac:dyDescent="0.35">
      <c r="A2" s="13">
        <v>45993</v>
      </c>
      <c r="B2" s="6" t="s">
        <v>11</v>
      </c>
      <c r="C2" s="6" t="s">
        <v>34</v>
      </c>
      <c r="D2" s="6" t="s">
        <v>30</v>
      </c>
      <c r="E2" s="6">
        <v>3357</v>
      </c>
      <c r="F2" s="6" t="s">
        <v>12</v>
      </c>
      <c r="G2" s="7">
        <v>71.47</v>
      </c>
      <c r="H2" s="14">
        <f>Table1[[#This Row],[QTY]]*Table1[[#This Row],[RATE]]</f>
        <v>239924.79</v>
      </c>
      <c r="J2" s="12"/>
    </row>
    <row r="3" spans="1:10" x14ac:dyDescent="0.35">
      <c r="A3" s="13">
        <v>46020</v>
      </c>
      <c r="B3" s="6" t="s">
        <v>17</v>
      </c>
      <c r="C3" s="6"/>
      <c r="D3" s="6" t="s">
        <v>35</v>
      </c>
      <c r="E3" s="6">
        <v>4</v>
      </c>
      <c r="F3" s="6" t="s">
        <v>16</v>
      </c>
      <c r="G3" s="7">
        <v>5250</v>
      </c>
      <c r="H3" s="14">
        <f>Table1[[#This Row],[QTY]]*Table1[[#This Row],[RATE]]</f>
        <v>21000</v>
      </c>
    </row>
    <row r="4" spans="1:10" x14ac:dyDescent="0.35">
      <c r="A4" s="13">
        <v>46020</v>
      </c>
      <c r="B4" s="6" t="s">
        <v>18</v>
      </c>
      <c r="C4" s="6"/>
      <c r="D4" s="6" t="s">
        <v>35</v>
      </c>
      <c r="E4" s="6">
        <v>4</v>
      </c>
      <c r="F4" s="6" t="s">
        <v>16</v>
      </c>
      <c r="G4" s="7">
        <v>4500</v>
      </c>
      <c r="H4" s="14">
        <f>Table1[[#This Row],[QTY]]*Table1[[#This Row],[RATE]]</f>
        <v>18000</v>
      </c>
    </row>
    <row r="5" spans="1:10" x14ac:dyDescent="0.35">
      <c r="A5" s="13">
        <v>46021</v>
      </c>
      <c r="B5" s="6" t="s">
        <v>13</v>
      </c>
      <c r="C5" s="6" t="s">
        <v>36</v>
      </c>
      <c r="D5" s="6" t="s">
        <v>37</v>
      </c>
      <c r="E5" s="6">
        <v>50</v>
      </c>
      <c r="F5" s="6" t="s">
        <v>14</v>
      </c>
      <c r="G5" s="7">
        <v>305</v>
      </c>
      <c r="H5" s="14">
        <f>Table1[[#This Row],[QTY]]*Table1[[#This Row],[RATE]]</f>
        <v>15250</v>
      </c>
    </row>
    <row r="6" spans="1:10" x14ac:dyDescent="0.35">
      <c r="A6" s="13">
        <v>46022</v>
      </c>
      <c r="B6" s="6" t="s">
        <v>55</v>
      </c>
      <c r="C6" s="6" t="s">
        <v>56</v>
      </c>
      <c r="D6" s="6" t="s">
        <v>38</v>
      </c>
      <c r="E6" s="6">
        <v>12000</v>
      </c>
      <c r="F6" s="6" t="s">
        <v>15</v>
      </c>
      <c r="G6" s="7">
        <v>12.1</v>
      </c>
      <c r="H6" s="14">
        <f>Table1[[#This Row],[QTY]]*Table1[[#This Row],[RATE]]</f>
        <v>145200</v>
      </c>
    </row>
    <row r="7" spans="1:10" x14ac:dyDescent="0.35">
      <c r="A7" s="13">
        <v>46025</v>
      </c>
      <c r="B7" s="6" t="s">
        <v>17</v>
      </c>
      <c r="C7" s="6"/>
      <c r="D7" s="6" t="s">
        <v>35</v>
      </c>
      <c r="E7" s="6">
        <v>4</v>
      </c>
      <c r="F7" s="6" t="s">
        <v>16</v>
      </c>
      <c r="G7" s="7">
        <v>5250</v>
      </c>
      <c r="H7" s="14">
        <f>Table1[[#This Row],[QTY]]*Table1[[#This Row],[RATE]]</f>
        <v>21000</v>
      </c>
    </row>
    <row r="8" spans="1:10" x14ac:dyDescent="0.35">
      <c r="A8" s="13">
        <v>46027</v>
      </c>
      <c r="B8" s="6" t="s">
        <v>13</v>
      </c>
      <c r="C8" s="6" t="s">
        <v>36</v>
      </c>
      <c r="D8" s="6" t="s">
        <v>37</v>
      </c>
      <c r="E8" s="6">
        <v>60</v>
      </c>
      <c r="F8" s="6" t="s">
        <v>14</v>
      </c>
      <c r="G8" s="7">
        <v>305</v>
      </c>
      <c r="H8" s="14">
        <f>Table1[[#This Row],[QTY]]*Table1[[#This Row],[RATE]]</f>
        <v>18300</v>
      </c>
    </row>
    <row r="9" spans="1:10" x14ac:dyDescent="0.35">
      <c r="A9" s="13">
        <v>46027</v>
      </c>
      <c r="B9" s="6" t="s">
        <v>11</v>
      </c>
      <c r="C9" s="6" t="s">
        <v>34</v>
      </c>
      <c r="D9" s="6" t="s">
        <v>30</v>
      </c>
      <c r="E9" s="6">
        <v>380</v>
      </c>
      <c r="F9" s="6" t="s">
        <v>12</v>
      </c>
      <c r="G9" s="7">
        <v>77.680000000000007</v>
      </c>
      <c r="H9" s="14">
        <v>29520</v>
      </c>
    </row>
    <row r="10" spans="1:10" x14ac:dyDescent="0.35">
      <c r="A10" s="13">
        <v>46030</v>
      </c>
      <c r="B10" s="6" t="s">
        <v>11</v>
      </c>
      <c r="C10" s="6" t="s">
        <v>34</v>
      </c>
      <c r="D10" s="6" t="s">
        <v>30</v>
      </c>
      <c r="E10" s="6">
        <v>296</v>
      </c>
      <c r="F10" s="6" t="s">
        <v>12</v>
      </c>
      <c r="G10" s="7">
        <v>76.489999999999995</v>
      </c>
      <c r="H10" s="14">
        <f>Table1[[#This Row],[QTY]]*Table1[[#This Row],[RATE]]</f>
        <v>22641.039999999997</v>
      </c>
    </row>
    <row r="11" spans="1:10" x14ac:dyDescent="0.35">
      <c r="A11" s="13">
        <v>46031</v>
      </c>
      <c r="B11" s="6" t="s">
        <v>17</v>
      </c>
      <c r="C11" s="6"/>
      <c r="D11" s="6" t="s">
        <v>35</v>
      </c>
      <c r="E11" s="6">
        <v>8</v>
      </c>
      <c r="F11" s="6" t="s">
        <v>16</v>
      </c>
      <c r="G11" s="7">
        <v>5250</v>
      </c>
      <c r="H11" s="14">
        <f>Table1[[#This Row],[QTY]]*Table1[[#This Row],[RATE]]</f>
        <v>42000</v>
      </c>
    </row>
    <row r="12" spans="1:10" x14ac:dyDescent="0.35">
      <c r="A12" s="13">
        <v>46031</v>
      </c>
      <c r="B12" s="6" t="s">
        <v>19</v>
      </c>
      <c r="C12" s="6"/>
      <c r="D12" s="6" t="s">
        <v>35</v>
      </c>
      <c r="E12" s="6">
        <v>12</v>
      </c>
      <c r="F12" s="6" t="s">
        <v>16</v>
      </c>
      <c r="G12" s="7">
        <v>4625</v>
      </c>
      <c r="H12" s="14">
        <f>Table1[[#This Row],[QTY]]*Table1[[#This Row],[RATE]]</f>
        <v>55500</v>
      </c>
    </row>
    <row r="13" spans="1:10" x14ac:dyDescent="0.35">
      <c r="A13" s="13">
        <v>46031</v>
      </c>
      <c r="B13" s="6" t="s">
        <v>13</v>
      </c>
      <c r="C13" s="6" t="s">
        <v>36</v>
      </c>
      <c r="D13" s="6" t="s">
        <v>37</v>
      </c>
      <c r="E13" s="6">
        <v>150</v>
      </c>
      <c r="F13" s="6" t="s">
        <v>14</v>
      </c>
      <c r="G13" s="7">
        <v>305</v>
      </c>
      <c r="H13" s="14">
        <f>Table1[[#This Row],[QTY]]*Table1[[#This Row],[RATE]]</f>
        <v>45750</v>
      </c>
    </row>
    <row r="14" spans="1:10" x14ac:dyDescent="0.35">
      <c r="A14" s="13">
        <v>46032</v>
      </c>
      <c r="B14" s="6" t="s">
        <v>26</v>
      </c>
      <c r="C14" s="6"/>
      <c r="D14" s="6" t="s">
        <v>35</v>
      </c>
      <c r="E14" s="6">
        <v>2</v>
      </c>
      <c r="F14" s="6" t="s">
        <v>16</v>
      </c>
      <c r="G14" s="7">
        <v>5950</v>
      </c>
      <c r="H14" s="14">
        <f>Table1[[#This Row],[QTY]]*Table1[[#This Row],[RATE]]</f>
        <v>11900</v>
      </c>
    </row>
    <row r="15" spans="1:10" x14ac:dyDescent="0.35">
      <c r="A15" s="13">
        <v>46033</v>
      </c>
      <c r="B15" s="6" t="s">
        <v>13</v>
      </c>
      <c r="C15" s="6" t="s">
        <v>36</v>
      </c>
      <c r="D15" s="6" t="s">
        <v>44</v>
      </c>
      <c r="E15" s="6">
        <v>30</v>
      </c>
      <c r="F15" s="6" t="s">
        <v>14</v>
      </c>
      <c r="G15" s="7">
        <v>300</v>
      </c>
      <c r="H15" s="14">
        <f>Table1[[#This Row],[QTY]]*Table1[[#This Row],[RATE]]</f>
        <v>9000</v>
      </c>
    </row>
    <row r="16" spans="1:10" x14ac:dyDescent="0.35">
      <c r="A16" s="13">
        <v>46034</v>
      </c>
      <c r="B16" s="6" t="s">
        <v>29</v>
      </c>
      <c r="C16" s="6"/>
      <c r="D16" s="6" t="s">
        <v>46</v>
      </c>
      <c r="E16" s="6">
        <v>68</v>
      </c>
      <c r="F16" s="6" t="s">
        <v>16</v>
      </c>
      <c r="G16" s="7">
        <v>2150</v>
      </c>
      <c r="H16" s="14">
        <f>Table1[[#This Row],[QTY]]*Table1[[#This Row],[RATE]]</f>
        <v>146200</v>
      </c>
    </row>
    <row r="17" spans="1:8" x14ac:dyDescent="0.35">
      <c r="A17" s="13">
        <v>46049</v>
      </c>
      <c r="B17" s="6" t="s">
        <v>13</v>
      </c>
      <c r="C17" s="6" t="s">
        <v>36</v>
      </c>
      <c r="D17" s="6" t="s">
        <v>49</v>
      </c>
      <c r="E17" s="6">
        <v>50</v>
      </c>
      <c r="F17" s="6" t="s">
        <v>14</v>
      </c>
      <c r="G17" s="7">
        <v>300</v>
      </c>
      <c r="H17" s="14">
        <f>Table1[[#This Row],[QTY]]*Table1[[#This Row],[RATE]]</f>
        <v>15000</v>
      </c>
    </row>
    <row r="18" spans="1:8" x14ac:dyDescent="0.35">
      <c r="A18" s="13">
        <v>46050</v>
      </c>
      <c r="B18" s="6" t="s">
        <v>11</v>
      </c>
      <c r="C18" s="6" t="s">
        <v>34</v>
      </c>
      <c r="D18" s="6" t="s">
        <v>30</v>
      </c>
      <c r="E18" s="6">
        <v>1440</v>
      </c>
      <c r="F18" s="6"/>
      <c r="G18" s="7"/>
      <c r="H18" s="14">
        <v>115090</v>
      </c>
    </row>
    <row r="19" spans="1:8" x14ac:dyDescent="0.35">
      <c r="A19" s="13">
        <v>46055</v>
      </c>
      <c r="B19" s="6" t="s">
        <v>11</v>
      </c>
      <c r="C19" s="6" t="s">
        <v>34</v>
      </c>
      <c r="D19" s="6" t="s">
        <v>30</v>
      </c>
      <c r="E19" s="6">
        <v>1066</v>
      </c>
      <c r="F19" s="6"/>
      <c r="G19" s="7"/>
      <c r="H19" s="14">
        <v>85880</v>
      </c>
    </row>
    <row r="20" spans="1:8" x14ac:dyDescent="0.35">
      <c r="A20" s="13">
        <v>46056</v>
      </c>
      <c r="B20" s="6" t="s">
        <v>17</v>
      </c>
      <c r="C20" s="6"/>
      <c r="D20" s="6" t="s">
        <v>35</v>
      </c>
      <c r="E20" s="6">
        <v>4</v>
      </c>
      <c r="F20" s="6" t="s">
        <v>16</v>
      </c>
      <c r="G20" s="7">
        <v>5250</v>
      </c>
      <c r="H20" s="14">
        <f>Table1[[#This Row],[QTY]]*Table1[[#This Row],[RATE]]</f>
        <v>21000</v>
      </c>
    </row>
    <row r="21" spans="1:8" x14ac:dyDescent="0.35">
      <c r="A21" s="13">
        <v>46056</v>
      </c>
      <c r="B21" s="6" t="s">
        <v>19</v>
      </c>
      <c r="C21" s="6"/>
      <c r="D21" s="6" t="s">
        <v>35</v>
      </c>
      <c r="E21" s="6">
        <v>4</v>
      </c>
      <c r="F21" s="6" t="s">
        <v>16</v>
      </c>
      <c r="G21" s="7">
        <v>4625</v>
      </c>
      <c r="H21" s="14">
        <f>Table1[[#This Row],[QTY]]*Table1[[#This Row],[RATE]]</f>
        <v>18500</v>
      </c>
    </row>
    <row r="22" spans="1:8" x14ac:dyDescent="0.35">
      <c r="A22" s="13">
        <v>46057</v>
      </c>
      <c r="B22" s="6" t="s">
        <v>13</v>
      </c>
      <c r="C22" s="6" t="s">
        <v>36</v>
      </c>
      <c r="D22" s="6" t="s">
        <v>49</v>
      </c>
      <c r="E22" s="6">
        <v>100</v>
      </c>
      <c r="F22" s="6" t="s">
        <v>14</v>
      </c>
      <c r="G22" s="7">
        <v>300</v>
      </c>
      <c r="H22" s="14">
        <f>Table1[[#This Row],[QTY]]*Table1[[#This Row],[RATE]]</f>
        <v>30000</v>
      </c>
    </row>
    <row r="23" spans="1:8" x14ac:dyDescent="0.35">
      <c r="A23" s="13">
        <v>46058</v>
      </c>
      <c r="B23" s="6" t="s">
        <v>55</v>
      </c>
      <c r="C23" s="6" t="s">
        <v>56</v>
      </c>
      <c r="D23" s="6" t="s">
        <v>38</v>
      </c>
      <c r="E23" s="6">
        <v>12000</v>
      </c>
      <c r="F23" s="6" t="s">
        <v>15</v>
      </c>
      <c r="G23" s="7">
        <v>12</v>
      </c>
      <c r="H23" s="14">
        <f>Table1[[#This Row],[QTY]]*Table1[[#This Row],[RATE]]</f>
        <v>144000</v>
      </c>
    </row>
    <row r="24" spans="1:8" x14ac:dyDescent="0.35">
      <c r="A24" s="13">
        <v>46062</v>
      </c>
      <c r="B24" s="6" t="s">
        <v>17</v>
      </c>
      <c r="C24" s="6"/>
      <c r="D24" s="6" t="s">
        <v>35</v>
      </c>
      <c r="E24" s="6">
        <v>4</v>
      </c>
      <c r="F24" s="6" t="s">
        <v>16</v>
      </c>
      <c r="G24" s="7">
        <v>5250</v>
      </c>
      <c r="H24" s="14">
        <f>Table1[[#This Row],[QTY]]*Table1[[#This Row],[RATE]]</f>
        <v>21000</v>
      </c>
    </row>
    <row r="25" spans="1:8" x14ac:dyDescent="0.35">
      <c r="A25" s="13">
        <v>46064</v>
      </c>
      <c r="B25" s="6" t="s">
        <v>13</v>
      </c>
      <c r="C25" s="6" t="s">
        <v>36</v>
      </c>
      <c r="D25" s="6" t="s">
        <v>49</v>
      </c>
      <c r="E25" s="6">
        <v>50</v>
      </c>
      <c r="F25" s="6" t="s">
        <v>14</v>
      </c>
      <c r="G25" s="7">
        <v>300</v>
      </c>
      <c r="H25" s="14">
        <f>Table1[[#This Row],[QTY]]*Table1[[#This Row],[RATE]]</f>
        <v>15000</v>
      </c>
    </row>
    <row r="26" spans="1:8" x14ac:dyDescent="0.35">
      <c r="A26" s="13">
        <v>46064</v>
      </c>
      <c r="B26" s="6" t="s">
        <v>19</v>
      </c>
      <c r="C26" s="6"/>
      <c r="D26" s="6" t="s">
        <v>35</v>
      </c>
      <c r="E26" s="6">
        <v>2</v>
      </c>
      <c r="F26" s="6" t="s">
        <v>16</v>
      </c>
      <c r="G26" s="7">
        <v>4750</v>
      </c>
      <c r="H26" s="14">
        <f>Table1[[#This Row],[QTY]]*Table1[[#This Row],[RATE]]</f>
        <v>9500</v>
      </c>
    </row>
    <row r="27" spans="1:8" x14ac:dyDescent="0.35">
      <c r="A27" s="13">
        <v>46065</v>
      </c>
      <c r="B27" s="6" t="s">
        <v>19</v>
      </c>
      <c r="C27" s="6"/>
      <c r="D27" s="6" t="s">
        <v>35</v>
      </c>
      <c r="E27" s="6">
        <v>2</v>
      </c>
      <c r="F27" s="6" t="s">
        <v>16</v>
      </c>
      <c r="G27" s="7">
        <v>4750</v>
      </c>
      <c r="H27" s="14">
        <f>Table1[[#This Row],[QTY]]*Table1[[#This Row],[RATE]]</f>
        <v>9500</v>
      </c>
    </row>
    <row r="28" spans="1:8" x14ac:dyDescent="0.35">
      <c r="A28" s="13">
        <v>46065</v>
      </c>
      <c r="B28" s="6" t="s">
        <v>13</v>
      </c>
      <c r="C28" s="6" t="s">
        <v>36</v>
      </c>
      <c r="D28" s="6" t="s">
        <v>49</v>
      </c>
      <c r="E28" s="6">
        <v>50</v>
      </c>
      <c r="F28" s="6" t="s">
        <v>14</v>
      </c>
      <c r="G28" s="7">
        <v>300</v>
      </c>
      <c r="H28" s="14">
        <f>Table1[[#This Row],[QTY]]*Table1[[#This Row],[RATE]]</f>
        <v>15000</v>
      </c>
    </row>
    <row r="29" spans="1:8" x14ac:dyDescent="0.35">
      <c r="A29" s="11">
        <v>46066</v>
      </c>
      <c r="B29" s="6" t="s">
        <v>11</v>
      </c>
      <c r="C29" s="6" t="s">
        <v>34</v>
      </c>
      <c r="D29" s="6" t="s">
        <v>30</v>
      </c>
      <c r="E29" s="6">
        <v>315</v>
      </c>
      <c r="F29" s="6" t="s">
        <v>12</v>
      </c>
      <c r="G29" s="7"/>
      <c r="H29" s="9">
        <v>27320</v>
      </c>
    </row>
    <row r="30" spans="1:8" x14ac:dyDescent="0.35">
      <c r="A30" s="11">
        <v>46072</v>
      </c>
      <c r="B30" s="6" t="s">
        <v>17</v>
      </c>
      <c r="C30" s="6"/>
      <c r="D30" s="6" t="s">
        <v>35</v>
      </c>
      <c r="E30" s="6">
        <v>2</v>
      </c>
      <c r="F30" s="6" t="s">
        <v>16</v>
      </c>
      <c r="G30" s="7">
        <v>5500</v>
      </c>
      <c r="H30" s="9">
        <f>Table1[[#This Row],[QTY]]*Table1[[#This Row],[RATE]]</f>
        <v>11000</v>
      </c>
    </row>
    <row r="31" spans="1:8" x14ac:dyDescent="0.35">
      <c r="A31" s="11">
        <v>46072</v>
      </c>
      <c r="B31" s="6" t="s">
        <v>19</v>
      </c>
      <c r="C31" s="6"/>
      <c r="D31" s="6" t="s">
        <v>35</v>
      </c>
      <c r="E31" s="6">
        <v>2</v>
      </c>
      <c r="F31" s="6" t="s">
        <v>16</v>
      </c>
      <c r="G31" s="7">
        <v>4750</v>
      </c>
      <c r="H31" s="9">
        <f>Table1[[#This Row],[QTY]]*Table1[[#This Row],[RATE]]</f>
        <v>9500</v>
      </c>
    </row>
    <row r="32" spans="1:8" x14ac:dyDescent="0.35">
      <c r="A32" s="11">
        <v>46073</v>
      </c>
      <c r="B32" s="6" t="s">
        <v>13</v>
      </c>
      <c r="C32" s="6" t="s">
        <v>36</v>
      </c>
      <c r="D32" s="6" t="s">
        <v>37</v>
      </c>
      <c r="E32" s="6">
        <v>50</v>
      </c>
      <c r="F32" s="6" t="s">
        <v>14</v>
      </c>
      <c r="G32" s="7">
        <v>300</v>
      </c>
      <c r="H32" s="9">
        <f>Table1[[#This Row],[QTY]]*Table1[[#This Row],[RATE]]</f>
        <v>15000</v>
      </c>
    </row>
    <row r="33" spans="1:8" x14ac:dyDescent="0.35">
      <c r="A33" s="11">
        <v>46078</v>
      </c>
      <c r="B33" s="6" t="s">
        <v>29</v>
      </c>
      <c r="C33" s="6"/>
      <c r="D33" s="6" t="s">
        <v>59</v>
      </c>
      <c r="E33" s="6">
        <v>52</v>
      </c>
      <c r="F33" s="6" t="s">
        <v>16</v>
      </c>
      <c r="G33" s="7">
        <v>2125</v>
      </c>
      <c r="H33" s="9">
        <f>Table1[[#This Row],[QTY]]*Table1[[#This Row],[RATE]]</f>
        <v>110500</v>
      </c>
    </row>
    <row r="34" spans="1:8" x14ac:dyDescent="0.35">
      <c r="A34" s="11">
        <v>46078</v>
      </c>
      <c r="B34" s="6" t="s">
        <v>11</v>
      </c>
      <c r="C34" s="6" t="s">
        <v>34</v>
      </c>
      <c r="D34" s="6" t="s">
        <v>30</v>
      </c>
      <c r="E34" s="6">
        <v>1002</v>
      </c>
      <c r="F34" s="6"/>
      <c r="G34" s="7"/>
      <c r="H34" s="9">
        <v>90040</v>
      </c>
    </row>
    <row r="35" spans="1:8" x14ac:dyDescent="0.35">
      <c r="A35" s="11">
        <v>46084</v>
      </c>
      <c r="B35" s="6" t="s">
        <v>11</v>
      </c>
      <c r="C35" s="6" t="s">
        <v>34</v>
      </c>
      <c r="D35" s="6" t="s">
        <v>30</v>
      </c>
      <c r="E35" s="6">
        <v>57</v>
      </c>
      <c r="F35" s="6"/>
      <c r="G35" s="7"/>
      <c r="H35" s="9">
        <v>4990</v>
      </c>
    </row>
    <row r="36" spans="1:8" x14ac:dyDescent="0.35">
      <c r="A36" s="21">
        <v>46085</v>
      </c>
      <c r="B36" s="22" t="s">
        <v>13</v>
      </c>
      <c r="C36" s="22" t="s">
        <v>36</v>
      </c>
      <c r="D36" s="22" t="s">
        <v>37</v>
      </c>
      <c r="E36" s="22">
        <v>100</v>
      </c>
      <c r="F36" s="22" t="s">
        <v>14</v>
      </c>
      <c r="G36" s="23">
        <v>300</v>
      </c>
      <c r="H36" s="24">
        <f>Table1[[#This Row],[QTY]]*Table1[[#This Row],[RATE]]</f>
        <v>30000</v>
      </c>
    </row>
    <row r="37" spans="1:8" x14ac:dyDescent="0.35">
      <c r="A37" s="21">
        <v>46085</v>
      </c>
      <c r="B37" s="22" t="s">
        <v>18</v>
      </c>
      <c r="C37" s="22"/>
      <c r="D37" s="22" t="s">
        <v>35</v>
      </c>
      <c r="E37" s="22">
        <v>8</v>
      </c>
      <c r="F37" s="22" t="s">
        <v>16</v>
      </c>
      <c r="G37" s="23">
        <v>4500</v>
      </c>
      <c r="H37" s="24">
        <f>Table1[[#This Row],[QTY]]*Table1[[#This Row],[RATE]]</f>
        <v>36000</v>
      </c>
    </row>
    <row r="38" spans="1:8" x14ac:dyDescent="0.35">
      <c r="A38" s="21">
        <v>46085</v>
      </c>
      <c r="B38" s="22" t="s">
        <v>17</v>
      </c>
      <c r="C38" s="22"/>
      <c r="D38" s="22" t="s">
        <v>35</v>
      </c>
      <c r="E38" s="22">
        <v>8</v>
      </c>
      <c r="F38" s="22" t="s">
        <v>16</v>
      </c>
      <c r="G38" s="23">
        <v>5250</v>
      </c>
      <c r="H38" s="24">
        <f>Table1[[#This Row],[QTY]]*Table1[[#This Row],[RATE]]</f>
        <v>42000</v>
      </c>
    </row>
    <row r="39" spans="1:8" x14ac:dyDescent="0.35">
      <c r="A39" s="21">
        <v>46085</v>
      </c>
      <c r="B39" s="22" t="s">
        <v>19</v>
      </c>
      <c r="C39" s="22"/>
      <c r="D39" s="22" t="s">
        <v>35</v>
      </c>
      <c r="E39" s="22">
        <v>4</v>
      </c>
      <c r="F39" s="22" t="s">
        <v>16</v>
      </c>
      <c r="G39" s="23">
        <v>4625</v>
      </c>
      <c r="H39" s="24">
        <f>Table1[[#This Row],[QTY]]*Table1[[#This Row],[RATE]]</f>
        <v>18500</v>
      </c>
    </row>
    <row r="40" spans="1:8" x14ac:dyDescent="0.35">
      <c r="A40" s="21">
        <v>46090</v>
      </c>
      <c r="B40" s="22" t="s">
        <v>13</v>
      </c>
      <c r="C40" s="22" t="s">
        <v>36</v>
      </c>
      <c r="D40" s="22" t="s">
        <v>37</v>
      </c>
      <c r="E40" s="22">
        <v>60</v>
      </c>
      <c r="F40" s="22" t="s">
        <v>14</v>
      </c>
      <c r="G40" s="23">
        <v>300</v>
      </c>
      <c r="H40" s="24">
        <f>Table1[[#This Row],[QTY]]*Table1[[#This Row],[RATE]]</f>
        <v>18000</v>
      </c>
    </row>
    <row r="41" spans="1:8" x14ac:dyDescent="0.35">
      <c r="A41" s="21">
        <v>46091</v>
      </c>
      <c r="B41" s="22" t="s">
        <v>11</v>
      </c>
      <c r="C41" s="22" t="s">
        <v>34</v>
      </c>
      <c r="D41" s="22" t="s">
        <v>30</v>
      </c>
      <c r="E41" s="22">
        <v>506.4</v>
      </c>
      <c r="F41" s="22"/>
      <c r="G41" s="23"/>
      <c r="H41" s="24">
        <v>43080</v>
      </c>
    </row>
    <row r="42" spans="1:8" x14ac:dyDescent="0.35">
      <c r="A42" s="13">
        <v>46092</v>
      </c>
      <c r="B42" s="6" t="s">
        <v>55</v>
      </c>
      <c r="C42" s="6" t="s">
        <v>56</v>
      </c>
      <c r="D42" s="6" t="s">
        <v>38</v>
      </c>
      <c r="E42" s="6">
        <v>12</v>
      </c>
      <c r="F42" s="6" t="s">
        <v>15</v>
      </c>
      <c r="G42" s="7">
        <v>2000</v>
      </c>
      <c r="H42" s="14">
        <f>Table1[[#This Row],[QTY]]*Table1[[#This Row],[RATE]]</f>
        <v>24000</v>
      </c>
    </row>
    <row r="43" spans="1:8" x14ac:dyDescent="0.35">
      <c r="A43" s="21">
        <v>46093</v>
      </c>
      <c r="B43" s="22" t="s">
        <v>17</v>
      </c>
      <c r="C43" s="22"/>
      <c r="D43" s="22" t="s">
        <v>35</v>
      </c>
      <c r="E43" s="22">
        <v>4</v>
      </c>
      <c r="F43" s="22" t="s">
        <v>16</v>
      </c>
      <c r="G43" s="23">
        <v>5250</v>
      </c>
      <c r="H43" s="24">
        <f>Table1[[#This Row],[QTY]]*Table1[[#This Row],[RATE]]</f>
        <v>21000</v>
      </c>
    </row>
    <row r="44" spans="1:8" x14ac:dyDescent="0.35">
      <c r="A44" s="21">
        <v>46094</v>
      </c>
      <c r="B44" s="22" t="s">
        <v>55</v>
      </c>
      <c r="C44" s="22" t="s">
        <v>56</v>
      </c>
      <c r="D44" s="22" t="s">
        <v>38</v>
      </c>
      <c r="E44" s="22">
        <v>10000</v>
      </c>
      <c r="F44" s="22" t="s">
        <v>15</v>
      </c>
      <c r="G44" s="23">
        <v>12</v>
      </c>
      <c r="H44" s="24">
        <f>Table1[[#This Row],[QTY]]*Table1[[#This Row],[RATE]]</f>
        <v>120000</v>
      </c>
    </row>
    <row r="45" spans="1:8" x14ac:dyDescent="0.35">
      <c r="A45" s="21">
        <v>46101</v>
      </c>
      <c r="B45" s="22" t="s">
        <v>17</v>
      </c>
      <c r="C45" s="22"/>
      <c r="D45" s="22" t="s">
        <v>35</v>
      </c>
      <c r="E45" s="22">
        <v>4</v>
      </c>
      <c r="F45" s="22" t="s">
        <v>16</v>
      </c>
      <c r="G45" s="23">
        <v>5250</v>
      </c>
      <c r="H45" s="24">
        <f>Table1[[#This Row],[QTY]]*Table1[[#This Row],[RATE]]</f>
        <v>21000</v>
      </c>
    </row>
    <row r="46" spans="1:8" x14ac:dyDescent="0.35">
      <c r="A46" s="21">
        <v>46101</v>
      </c>
      <c r="B46" s="22" t="s">
        <v>13</v>
      </c>
      <c r="C46" s="22" t="s">
        <v>36</v>
      </c>
      <c r="D46" s="22" t="s">
        <v>63</v>
      </c>
      <c r="E46" s="22">
        <v>50</v>
      </c>
      <c r="F46" s="22" t="s">
        <v>14</v>
      </c>
      <c r="G46" s="23">
        <v>300</v>
      </c>
      <c r="H46" s="24">
        <f>Table1[[#This Row],[QTY]]*Table1[[#This Row],[RATE]]</f>
        <v>15000</v>
      </c>
    </row>
    <row r="47" spans="1:8" x14ac:dyDescent="0.35">
      <c r="A47" s="11">
        <v>46108</v>
      </c>
      <c r="B47" s="6" t="s">
        <v>11</v>
      </c>
      <c r="C47" s="6" t="s">
        <v>34</v>
      </c>
      <c r="D47" s="6" t="s">
        <v>30</v>
      </c>
      <c r="E47" s="6"/>
      <c r="F47" s="6" t="s">
        <v>12</v>
      </c>
      <c r="G47" s="7"/>
      <c r="H47" s="9">
        <v>279440</v>
      </c>
    </row>
    <row r="48" spans="1:8" x14ac:dyDescent="0.35">
      <c r="A48" s="11">
        <v>46111</v>
      </c>
      <c r="B48" s="6" t="s">
        <v>13</v>
      </c>
      <c r="C48" s="6" t="s">
        <v>36</v>
      </c>
      <c r="D48" s="6" t="s">
        <v>63</v>
      </c>
      <c r="E48" s="6">
        <v>200</v>
      </c>
      <c r="F48" s="6" t="s">
        <v>14</v>
      </c>
      <c r="G48" s="7">
        <v>290</v>
      </c>
      <c r="H48" s="9">
        <f>Table1[[#This Row],[QTY]]*Table1[[#This Row],[RATE]]</f>
        <v>58000</v>
      </c>
    </row>
    <row r="49" spans="1:8" x14ac:dyDescent="0.35">
      <c r="A49" s="11">
        <v>46120</v>
      </c>
      <c r="B49" s="6" t="s">
        <v>11</v>
      </c>
      <c r="C49" s="6" t="s">
        <v>34</v>
      </c>
      <c r="D49" s="6" t="s">
        <v>30</v>
      </c>
      <c r="E49" s="6">
        <v>122</v>
      </c>
      <c r="F49" s="6" t="s">
        <v>12</v>
      </c>
      <c r="G49" s="7"/>
      <c r="H49" s="9">
        <v>11000</v>
      </c>
    </row>
    <row r="50" spans="1:8" x14ac:dyDescent="0.35">
      <c r="A50" s="11">
        <v>46122</v>
      </c>
      <c r="B50" s="6" t="s">
        <v>17</v>
      </c>
      <c r="C50" s="6"/>
      <c r="D50" s="6" t="s">
        <v>35</v>
      </c>
      <c r="E50" s="6">
        <v>8</v>
      </c>
      <c r="F50" s="6" t="s">
        <v>16</v>
      </c>
      <c r="G50" s="7">
        <v>5250</v>
      </c>
      <c r="H50" s="9">
        <f>Table1[[#This Row],[QTY]]*Table1[[#This Row],[RATE]]</f>
        <v>42000</v>
      </c>
    </row>
    <row r="51" spans="1:8" x14ac:dyDescent="0.35">
      <c r="A51" s="11">
        <v>46122</v>
      </c>
      <c r="B51" s="6" t="s">
        <v>19</v>
      </c>
      <c r="C51" s="6"/>
      <c r="D51" s="6" t="s">
        <v>35</v>
      </c>
      <c r="E51" s="6">
        <v>12</v>
      </c>
      <c r="F51" s="6" t="s">
        <v>16</v>
      </c>
      <c r="G51" s="7">
        <v>4625</v>
      </c>
      <c r="H51" s="9">
        <f>Table1[[#This Row],[QTY]]*Table1[[#This Row],[RATE]]</f>
        <v>55500</v>
      </c>
    </row>
    <row r="52" spans="1:8" x14ac:dyDescent="0.35">
      <c r="A52" s="11">
        <v>46122</v>
      </c>
      <c r="B52" s="6" t="s">
        <v>31</v>
      </c>
      <c r="C52" s="6" t="s">
        <v>67</v>
      </c>
      <c r="D52" s="6" t="s">
        <v>66</v>
      </c>
      <c r="E52" s="6"/>
      <c r="F52" s="6"/>
      <c r="G52" s="7"/>
      <c r="H52" s="9">
        <v>12515</v>
      </c>
    </row>
    <row r="53" spans="1:8" x14ac:dyDescent="0.35">
      <c r="A53" s="11">
        <v>46122</v>
      </c>
      <c r="B53" s="6" t="s">
        <v>13</v>
      </c>
      <c r="C53" s="6" t="s">
        <v>36</v>
      </c>
      <c r="D53" s="6" t="s">
        <v>63</v>
      </c>
      <c r="E53" s="6">
        <v>50</v>
      </c>
      <c r="F53" s="6" t="s">
        <v>14</v>
      </c>
      <c r="G53" s="7">
        <v>330</v>
      </c>
      <c r="H53" s="9">
        <f>Table1[[#This Row],[QTY]]*Table1[[#This Row],[RATE]]</f>
        <v>16500</v>
      </c>
    </row>
    <row r="54" spans="1:8" x14ac:dyDescent="0.35">
      <c r="A54" s="11">
        <v>46127</v>
      </c>
      <c r="B54" s="6" t="s">
        <v>11</v>
      </c>
      <c r="C54" s="6" t="s">
        <v>34</v>
      </c>
      <c r="D54" s="6" t="s">
        <v>30</v>
      </c>
      <c r="E54" s="6"/>
      <c r="F54" s="6"/>
      <c r="G54" s="7"/>
      <c r="H54" s="9">
        <v>102690</v>
      </c>
    </row>
    <row r="55" spans="1:8" x14ac:dyDescent="0.35">
      <c r="A55" s="11">
        <v>46133</v>
      </c>
      <c r="B55" s="6" t="s">
        <v>13</v>
      </c>
      <c r="C55" s="6" t="s">
        <v>36</v>
      </c>
      <c r="D55" s="6" t="s">
        <v>37</v>
      </c>
      <c r="E55" s="6">
        <v>100</v>
      </c>
      <c r="F55" s="6" t="s">
        <v>14</v>
      </c>
      <c r="G55" s="7">
        <v>350</v>
      </c>
      <c r="H55" s="9">
        <f>Table1[[#This Row],[QTY]]*Table1[[#This Row],[RATE]]</f>
        <v>35000</v>
      </c>
    </row>
    <row r="56" spans="1:8" x14ac:dyDescent="0.35">
      <c r="A56" s="11">
        <v>46142</v>
      </c>
      <c r="B56" s="6" t="s">
        <v>55</v>
      </c>
      <c r="C56" s="6" t="s">
        <v>56</v>
      </c>
      <c r="D56" s="6" t="s">
        <v>38</v>
      </c>
      <c r="E56" s="6">
        <v>10000</v>
      </c>
      <c r="F56" s="6" t="str">
        <f>IFERROR(VLOOKUP(B56,'Reference Table'!$A$2:$C$20,2,FALSE),"")</f>
        <v>NOS</v>
      </c>
      <c r="G56" s="7">
        <v>12</v>
      </c>
      <c r="H56" s="9">
        <f>E56*G56</f>
        <v>120000</v>
      </c>
    </row>
    <row r="57" spans="1:8" x14ac:dyDescent="0.35">
      <c r="A57" s="11">
        <v>46144</v>
      </c>
      <c r="B57" s="6" t="s">
        <v>17</v>
      </c>
      <c r="C57" s="6"/>
      <c r="D57" s="6" t="s">
        <v>35</v>
      </c>
      <c r="E57" s="6">
        <v>4</v>
      </c>
      <c r="F57" s="6" t="s">
        <v>16</v>
      </c>
      <c r="G57" s="7">
        <v>5250</v>
      </c>
      <c r="H57" s="9">
        <f>E57*G57</f>
        <v>21000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CB90F22-E417-4626-AD55-E1FB3DA67C6A}">
          <x14:formula1>
            <xm:f>'Reference Table'!$A$2:$A$20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10C00-85B3-4ADB-8348-F3E7A686EE3A}">
  <dimension ref="A1:C12"/>
  <sheetViews>
    <sheetView workbookViewId="0">
      <selection sqref="A1:C12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9.26953125" style="4" bestFit="1" customWidth="1"/>
  </cols>
  <sheetData>
    <row r="1" spans="1:3" x14ac:dyDescent="0.35">
      <c r="A1" s="1" t="s">
        <v>1</v>
      </c>
      <c r="B1" s="1" t="s">
        <v>9</v>
      </c>
      <c r="C1" s="8" t="s">
        <v>5</v>
      </c>
    </row>
    <row r="2" spans="1:3" x14ac:dyDescent="0.35">
      <c r="A2" s="6" t="s">
        <v>17</v>
      </c>
      <c r="B2" s="6" t="s">
        <v>16</v>
      </c>
      <c r="C2" s="7">
        <v>5125</v>
      </c>
    </row>
    <row r="3" spans="1:3" x14ac:dyDescent="0.35">
      <c r="A3" s="6" t="s">
        <v>18</v>
      </c>
      <c r="B3" s="6" t="s">
        <v>16</v>
      </c>
      <c r="C3" s="7">
        <v>4450</v>
      </c>
    </row>
    <row r="4" spans="1:3" x14ac:dyDescent="0.35">
      <c r="A4" s="6" t="s">
        <v>55</v>
      </c>
      <c r="B4" s="6" t="s">
        <v>15</v>
      </c>
      <c r="C4" s="7">
        <v>7.2</v>
      </c>
    </row>
    <row r="5" spans="1:3" x14ac:dyDescent="0.35">
      <c r="A5" s="6" t="s">
        <v>19</v>
      </c>
      <c r="B5" s="6" t="s">
        <v>16</v>
      </c>
      <c r="C5" s="7">
        <v>4450</v>
      </c>
    </row>
    <row r="6" spans="1:3" x14ac:dyDescent="0.35">
      <c r="A6" s="6" t="s">
        <v>26</v>
      </c>
      <c r="B6" s="6" t="s">
        <v>16</v>
      </c>
      <c r="C6" s="7">
        <v>5950</v>
      </c>
    </row>
    <row r="7" spans="1:3" x14ac:dyDescent="0.35">
      <c r="A7" s="6" t="s">
        <v>29</v>
      </c>
      <c r="B7" s="6" t="s">
        <v>16</v>
      </c>
      <c r="C7" s="7">
        <v>2200</v>
      </c>
    </row>
    <row r="8" spans="1:3" x14ac:dyDescent="0.35">
      <c r="A8" s="6" t="s">
        <v>13</v>
      </c>
      <c r="B8" s="6" t="s">
        <v>14</v>
      </c>
      <c r="C8" s="6"/>
    </row>
    <row r="9" spans="1:3" x14ac:dyDescent="0.35">
      <c r="A9" s="6" t="s">
        <v>11</v>
      </c>
      <c r="B9" s="6" t="s">
        <v>12</v>
      </c>
      <c r="C9" s="6"/>
    </row>
    <row r="10" spans="1:3" x14ac:dyDescent="0.35">
      <c r="A10" s="6" t="s">
        <v>31</v>
      </c>
      <c r="B10" s="6"/>
      <c r="C10" s="7"/>
    </row>
    <row r="11" spans="1:3" x14ac:dyDescent="0.35">
      <c r="A11" s="6" t="s">
        <v>32</v>
      </c>
      <c r="B11" s="6"/>
      <c r="C11" s="7"/>
    </row>
    <row r="12" spans="1:3" x14ac:dyDescent="0.35">
      <c r="A12" s="6" t="s">
        <v>20</v>
      </c>
      <c r="B12" s="6"/>
      <c r="C1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2B97-F8EC-489B-AAAD-008E3D44EA2D}">
  <dimension ref="A1:D11"/>
  <sheetViews>
    <sheetView workbookViewId="0">
      <selection activeCell="E10" sqref="E10"/>
    </sheetView>
  </sheetViews>
  <sheetFormatPr defaultRowHeight="14.5" x14ac:dyDescent="0.35"/>
  <cols>
    <col min="1" max="1" width="13" bestFit="1" customWidth="1"/>
    <col min="3" max="3" width="13.453125" bestFit="1" customWidth="1"/>
    <col min="4" max="4" width="14.54296875" style="4" bestFit="1" customWidth="1"/>
  </cols>
  <sheetData>
    <row r="1" spans="1:4" x14ac:dyDescent="0.35">
      <c r="A1" s="1" t="s">
        <v>27</v>
      </c>
      <c r="B1" s="1" t="s">
        <v>4</v>
      </c>
      <c r="C1" s="1" t="s">
        <v>9</v>
      </c>
      <c r="D1" s="8" t="s">
        <v>68</v>
      </c>
    </row>
    <row r="2" spans="1:4" x14ac:dyDescent="0.35">
      <c r="A2" s="6" t="str" cm="1">
        <f t="array" ref="A2:A11">_xlfn.UNIQUE('Material Details'!B2:B1009)</f>
        <v>STEEL</v>
      </c>
      <c r="B2" s="6">
        <f>SUMIF('Material Details'!B2:B1009,A2,'Material Details'!E2:E1009)</f>
        <v>8541.4</v>
      </c>
      <c r="C2" s="6" t="s">
        <v>12</v>
      </c>
      <c r="D2" s="7">
        <f>SUMIF('Material Details'!B2:B1009,A2,'Material Details'!H2:H1009)</f>
        <v>1051615.83</v>
      </c>
    </row>
    <row r="3" spans="1:4" x14ac:dyDescent="0.35">
      <c r="A3" s="6" t="str">
        <v>M-SAND</v>
      </c>
      <c r="B3" s="6">
        <f>SUMIF('Material Details'!B3:B1010,A3,'Material Details'!E3:E1010)</f>
        <v>54</v>
      </c>
      <c r="C3" s="6" t="s">
        <v>16</v>
      </c>
      <c r="D3" s="7">
        <f>SUMIF('Material Details'!B3:B1010,A3,'Material Details'!H3:H1010)</f>
        <v>284000</v>
      </c>
    </row>
    <row r="4" spans="1:4" x14ac:dyDescent="0.35">
      <c r="A4" s="6" t="str">
        <v>40 MM METAL</v>
      </c>
      <c r="B4" s="6">
        <f>SUMIF('Material Details'!B4:B1011,A4,'Material Details'!E4:E1011)</f>
        <v>12</v>
      </c>
      <c r="C4" s="6" t="s">
        <v>16</v>
      </c>
      <c r="D4" s="7">
        <f>SUMIF('Material Details'!B4:B1011,A4,'Material Details'!H4:H1011)</f>
        <v>54000</v>
      </c>
    </row>
    <row r="5" spans="1:4" x14ac:dyDescent="0.35">
      <c r="A5" s="6" t="str">
        <v>CEMENT</v>
      </c>
      <c r="B5" s="6">
        <f>SUMIF('Material Details'!B5:B1012,A5,'Material Details'!E5:E1012)</f>
        <v>1150</v>
      </c>
      <c r="C5" s="6" t="s">
        <v>14</v>
      </c>
      <c r="D5" s="7">
        <f>SUMIF('Material Details'!B5:B1012,A5,'Material Details'!H5:H1012)</f>
        <v>350800</v>
      </c>
    </row>
    <row r="6" spans="1:4" x14ac:dyDescent="0.35">
      <c r="A6" s="6" t="str">
        <v>BRICK-RED</v>
      </c>
      <c r="B6" s="6">
        <f>SUMIF('Material Details'!B6:B1013,A6,'Material Details'!E6:E1013)</f>
        <v>44012</v>
      </c>
      <c r="C6" s="6" t="s">
        <v>15</v>
      </c>
      <c r="D6" s="7">
        <f>SUMIF('Material Details'!B6:B1013,A6,'Material Details'!H6:H1013)</f>
        <v>553200</v>
      </c>
    </row>
    <row r="7" spans="1:4" x14ac:dyDescent="0.35">
      <c r="A7" s="6" t="str">
        <v>20 MM JALLY</v>
      </c>
      <c r="B7" s="6">
        <f>SUMIF('Material Details'!B8:B1014,A7,'Material Details'!E8:E1014)</f>
        <v>38</v>
      </c>
      <c r="C7" s="6" t="s">
        <v>16</v>
      </c>
      <c r="D7" s="7">
        <f>SUMIF('Material Details'!B7:B1014,A7,'Material Details'!H7:H1014)</f>
        <v>176500</v>
      </c>
    </row>
    <row r="8" spans="1:4" x14ac:dyDescent="0.35">
      <c r="A8" s="6" t="str">
        <v>P-SAND</v>
      </c>
      <c r="B8" s="6">
        <f>SUMIF('Material Details'!B9:B1015,A8,'Material Details'!E9:E1015)</f>
        <v>2</v>
      </c>
      <c r="C8" s="6" t="s">
        <v>16</v>
      </c>
      <c r="D8" s="7">
        <f>SUMIF('Material Details'!B8:B1015,A8,'Material Details'!H8:H1015)</f>
        <v>11900</v>
      </c>
    </row>
    <row r="9" spans="1:4" x14ac:dyDescent="0.35">
      <c r="A9" s="6" t="str">
        <v>GRAVEL</v>
      </c>
      <c r="B9" s="6">
        <f>SUMIF('Material Details'!B10:B1016,A9,'Material Details'!E10:E1016)</f>
        <v>120</v>
      </c>
      <c r="C9" s="6" t="s">
        <v>16</v>
      </c>
      <c r="D9" s="7">
        <f>SUMIF('Material Details'!B9:B1016,A9,'Material Details'!H9:H1016)</f>
        <v>256700</v>
      </c>
    </row>
    <row r="10" spans="1:4" x14ac:dyDescent="0.35">
      <c r="A10" s="6" t="str">
        <v>ELECTRICAL</v>
      </c>
      <c r="B10" s="6">
        <f>SUMIF('Material Details'!B11:B1017,A10,'Material Details'!E11:E1017)</f>
        <v>0</v>
      </c>
      <c r="C10" s="6" t="s">
        <v>16</v>
      </c>
      <c r="D10" s="7">
        <f>SUMIF('Material Details'!B10:B1017,A10,'Material Details'!H10:H1017)</f>
        <v>12515</v>
      </c>
    </row>
    <row r="11" spans="1:4" x14ac:dyDescent="0.35">
      <c r="A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97B0-05D6-4BCA-A61B-0D246D1FF2DE}">
  <dimension ref="A1:J12"/>
  <sheetViews>
    <sheetView workbookViewId="0">
      <selection sqref="A1:D11"/>
    </sheetView>
  </sheetViews>
  <sheetFormatPr defaultRowHeight="14.5" x14ac:dyDescent="0.35"/>
  <cols>
    <col min="1" max="1" width="20.54296875" bestFit="1" customWidth="1"/>
    <col min="2" max="2" width="18.36328125" style="4" bestFit="1" customWidth="1"/>
    <col min="3" max="3" width="19.08984375" style="4" bestFit="1" customWidth="1"/>
    <col min="4" max="4" width="16.81640625" style="4" bestFit="1" customWidth="1"/>
    <col min="10" max="10" width="11.7265625" bestFit="1" customWidth="1"/>
  </cols>
  <sheetData>
    <row r="1" spans="1:10" x14ac:dyDescent="0.35">
      <c r="A1" s="1" t="s">
        <v>21</v>
      </c>
      <c r="B1" s="8" t="s">
        <v>8</v>
      </c>
      <c r="C1" s="8" t="s">
        <v>22</v>
      </c>
      <c r="D1" s="8" t="s">
        <v>23</v>
      </c>
      <c r="J1" s="4"/>
    </row>
    <row r="2" spans="1:10" x14ac:dyDescent="0.35">
      <c r="A2" s="6" t="str" cm="1">
        <f t="array" ref="A2:A12">_xlfn.UNIQUE('Material Details'!D2:D1009)</f>
        <v>AK STEELS</v>
      </c>
      <c r="B2" s="7">
        <f>SUMIF('Material Details'!D2:D1009,A2,'Material Details'!H2:H1009)</f>
        <v>1051615.83</v>
      </c>
      <c r="C2" s="7">
        <f>SUMIF('Payment Details'!B2:B1001,'Vendor Balance Sheet'!A2,'Payment Details'!C2:C1001)</f>
        <v>957000</v>
      </c>
      <c r="D2" s="7">
        <f>B2-C2</f>
        <v>94615.830000000075</v>
      </c>
    </row>
    <row r="3" spans="1:10" x14ac:dyDescent="0.35">
      <c r="A3" s="6" t="str">
        <v>RSK</v>
      </c>
      <c r="B3" s="7">
        <f>SUMIF('Material Details'!D2:D1009,A3,'Material Details'!H2:H1009)</f>
        <v>526400</v>
      </c>
      <c r="C3" s="7">
        <f>SUMIF('Payment Details'!B3:B1002,'Vendor Balance Sheet'!A3,'Payment Details'!C3:C1002)</f>
        <v>500000</v>
      </c>
      <c r="D3" s="7">
        <f t="shared" ref="D3:D7" si="0">B3-C3</f>
        <v>26400</v>
      </c>
    </row>
    <row r="4" spans="1:10" x14ac:dyDescent="0.35">
      <c r="A4" s="6" t="str">
        <v>PALANI MURUGAN</v>
      </c>
      <c r="B4" s="7">
        <f>SUMIF('Material Details'!D3:D1010,A4,'Material Details'!H3:H1010)</f>
        <v>177300</v>
      </c>
      <c r="C4" s="7">
        <f>SUMIF('Payment Details'!B2:B1001,'Vendor Balance Sheet'!A4,'Payment Details'!C2:C1001)</f>
        <v>177300</v>
      </c>
      <c r="D4" s="7">
        <f t="shared" si="0"/>
        <v>0</v>
      </c>
    </row>
    <row r="5" spans="1:10" x14ac:dyDescent="0.35">
      <c r="A5" s="6" t="str">
        <v>VEL BRICKS</v>
      </c>
      <c r="B5" s="7">
        <f>SUMIF('Material Details'!D4:D1011,A5,'Material Details'!H4:H1011)</f>
        <v>553200</v>
      </c>
      <c r="C5" s="7">
        <f>SUMIF('Payment Details'!B3:B1002,'Vendor Balance Sheet'!A5,'Payment Details'!C3:C1002)</f>
        <v>553200</v>
      </c>
      <c r="D5" s="7">
        <f t="shared" si="0"/>
        <v>0</v>
      </c>
    </row>
    <row r="6" spans="1:10" x14ac:dyDescent="0.35">
      <c r="A6" s="6" t="str">
        <v>SS TRADERS</v>
      </c>
      <c r="B6" s="7">
        <f>SUMIF('Material Details'!D5:D1012,A6,'Material Details'!H5:H1012)</f>
        <v>9000</v>
      </c>
      <c r="C6" s="7">
        <f>SUMIF('Payment Details'!B4:B1003,'Vendor Balance Sheet'!A6,'Payment Details'!C4:C1003)</f>
        <v>9000</v>
      </c>
      <c r="D6" s="7">
        <f t="shared" si="0"/>
        <v>0</v>
      </c>
    </row>
    <row r="7" spans="1:10" x14ac:dyDescent="0.35">
      <c r="A7" s="6" t="str">
        <v>KRISHNA</v>
      </c>
      <c r="B7" s="7">
        <f>SUMIF('Material Details'!D6:D1013,A7,'Material Details'!H6:H1013)</f>
        <v>146200</v>
      </c>
      <c r="C7" s="7">
        <f>SUMIF('Payment Details'!B5:B1004,'Vendor Balance Sheet'!A7,'Payment Details'!C5:C1004)</f>
        <v>145900</v>
      </c>
      <c r="D7" s="7">
        <f t="shared" si="0"/>
        <v>300</v>
      </c>
    </row>
    <row r="8" spans="1:10" x14ac:dyDescent="0.35">
      <c r="A8" s="6" t="str">
        <v>NV ASSOCIATES</v>
      </c>
      <c r="B8" s="7">
        <f>SUMIF('Material Details'!D8:D1014,A8,'Material Details'!H8:H1014)</f>
        <v>75000</v>
      </c>
      <c r="C8" s="7">
        <f>SUMIF('Payment Details'!B6:B1005,'Vendor Balance Sheet'!A8,'Payment Details'!C6:C1005)</f>
        <v>75000</v>
      </c>
      <c r="D8" s="7">
        <f t="shared" ref="D8:D9" si="1">B8-C8</f>
        <v>0</v>
      </c>
    </row>
    <row r="9" spans="1:10" x14ac:dyDescent="0.35">
      <c r="A9" s="6" t="str">
        <v>ANJENEYA</v>
      </c>
      <c r="B9" s="7">
        <f>SUMIF('Material Details'!D9:D1015,A9,'Material Details'!H9:H1015)</f>
        <v>110500</v>
      </c>
      <c r="C9" s="7">
        <f>SUMIF('Payment Details'!B7:B1006,'Vendor Balance Sheet'!A9,'Payment Details'!C7:C1006)</f>
        <v>110500</v>
      </c>
      <c r="D9" s="7">
        <f t="shared" si="1"/>
        <v>0</v>
      </c>
    </row>
    <row r="10" spans="1:10" x14ac:dyDescent="0.35">
      <c r="A10" s="6" t="str">
        <v>CHAKRA TRADERS</v>
      </c>
      <c r="B10" s="7">
        <f>SUMIF('Material Details'!D10:D1016,A10,'Material Details'!H10:H1016)</f>
        <v>89500</v>
      </c>
      <c r="C10" s="7">
        <f>SUMIF('Payment Details'!B8:B1007,'Vendor Balance Sheet'!A10,'Payment Details'!C8:C1007)</f>
        <v>89500</v>
      </c>
      <c r="D10" s="7">
        <f t="shared" ref="D10:D11" si="2">B10-C10</f>
        <v>0</v>
      </c>
    </row>
    <row r="11" spans="1:10" x14ac:dyDescent="0.35">
      <c r="A11" s="6" t="str">
        <v>RAMDEV HARDWARES</v>
      </c>
      <c r="B11" s="7">
        <f>SUMIF('Material Details'!D11:D1017,A11,'Material Details'!H11:H1017)</f>
        <v>12515</v>
      </c>
      <c r="C11" s="7">
        <f>SUMIF('Payment Details'!B9:B1008,'Vendor Balance Sheet'!A11,'Payment Details'!C9:C1008)</f>
        <v>10000</v>
      </c>
      <c r="D11" s="7">
        <f t="shared" si="2"/>
        <v>2515</v>
      </c>
    </row>
    <row r="12" spans="1:10" x14ac:dyDescent="0.35">
      <c r="A1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CC5F-739E-45E9-AC65-8442CF552E38}">
  <dimension ref="A1:F40"/>
  <sheetViews>
    <sheetView tabSelected="1" topLeftCell="A32" workbookViewId="0">
      <selection activeCell="A35" sqref="A35:F40"/>
    </sheetView>
  </sheetViews>
  <sheetFormatPr defaultRowHeight="14.5" x14ac:dyDescent="0.35"/>
  <cols>
    <col min="1" max="1" width="8.7265625" style="3"/>
    <col min="2" max="2" width="20.54296875" bestFit="1" customWidth="1"/>
    <col min="3" max="3" width="13.1796875" style="4" bestFit="1" customWidth="1"/>
    <col min="4" max="4" width="17.81640625" style="4" bestFit="1" customWidth="1"/>
    <col min="5" max="5" width="7.7265625" style="4" bestFit="1" customWidth="1"/>
    <col min="6" max="6" width="53.453125" bestFit="1" customWidth="1"/>
  </cols>
  <sheetData>
    <row r="1" spans="1:6" x14ac:dyDescent="0.35">
      <c r="A1" s="2" t="s">
        <v>0</v>
      </c>
      <c r="B1" s="1" t="s">
        <v>21</v>
      </c>
      <c r="C1" s="8" t="s">
        <v>6</v>
      </c>
      <c r="D1" s="8" t="s">
        <v>7</v>
      </c>
      <c r="E1" s="8" t="s">
        <v>24</v>
      </c>
      <c r="F1" s="1" t="s">
        <v>10</v>
      </c>
    </row>
    <row r="2" spans="1:6" x14ac:dyDescent="0.35">
      <c r="A2" s="5">
        <v>45997</v>
      </c>
      <c r="B2" s="6" t="s">
        <v>30</v>
      </c>
      <c r="C2" s="7">
        <v>100000</v>
      </c>
      <c r="D2" s="7" t="s">
        <v>28</v>
      </c>
      <c r="E2" s="7" t="s">
        <v>25</v>
      </c>
      <c r="F2" s="6" t="s">
        <v>33</v>
      </c>
    </row>
    <row r="3" spans="1:6" x14ac:dyDescent="0.35">
      <c r="A3" s="5">
        <v>46022</v>
      </c>
      <c r="B3" s="6" t="s">
        <v>30</v>
      </c>
      <c r="C3" s="7">
        <v>140000</v>
      </c>
      <c r="D3" s="7" t="s">
        <v>28</v>
      </c>
      <c r="E3" s="7" t="s">
        <v>25</v>
      </c>
      <c r="F3" s="6" t="s">
        <v>47</v>
      </c>
    </row>
    <row r="4" spans="1:6" x14ac:dyDescent="0.35">
      <c r="A4" s="5">
        <v>46022</v>
      </c>
      <c r="B4" s="6" t="s">
        <v>38</v>
      </c>
      <c r="C4" s="7">
        <v>145000</v>
      </c>
      <c r="D4" s="7" t="s">
        <v>28</v>
      </c>
      <c r="E4" s="7" t="s">
        <v>39</v>
      </c>
      <c r="F4" s="6" t="s">
        <v>40</v>
      </c>
    </row>
    <row r="5" spans="1:6" x14ac:dyDescent="0.35">
      <c r="A5" s="5">
        <v>46032</v>
      </c>
      <c r="B5" s="6" t="s">
        <v>35</v>
      </c>
      <c r="C5" s="7">
        <v>100000</v>
      </c>
      <c r="D5" s="7" t="s">
        <v>28</v>
      </c>
      <c r="E5" s="7" t="s">
        <v>39</v>
      </c>
      <c r="F5" s="6" t="s">
        <v>41</v>
      </c>
    </row>
    <row r="6" spans="1:6" x14ac:dyDescent="0.35">
      <c r="A6" s="5">
        <v>46032</v>
      </c>
      <c r="B6" s="6" t="s">
        <v>30</v>
      </c>
      <c r="C6" s="7">
        <v>52000</v>
      </c>
      <c r="D6" s="7" t="s">
        <v>28</v>
      </c>
      <c r="E6" s="7" t="s">
        <v>25</v>
      </c>
      <c r="F6" s="6" t="s">
        <v>42</v>
      </c>
    </row>
    <row r="7" spans="1:6" x14ac:dyDescent="0.35">
      <c r="A7" s="5">
        <v>46032</v>
      </c>
      <c r="B7" s="6" t="s">
        <v>37</v>
      </c>
      <c r="C7" s="7">
        <v>1950</v>
      </c>
      <c r="D7" s="7" t="s">
        <v>28</v>
      </c>
      <c r="E7" s="7" t="s">
        <v>25</v>
      </c>
      <c r="F7" s="6" t="s">
        <v>43</v>
      </c>
    </row>
    <row r="8" spans="1:6" x14ac:dyDescent="0.35">
      <c r="A8" s="5">
        <v>46033</v>
      </c>
      <c r="B8" s="6" t="s">
        <v>44</v>
      </c>
      <c r="C8" s="7">
        <v>9000</v>
      </c>
      <c r="D8" s="7" t="s">
        <v>28</v>
      </c>
      <c r="E8" s="7" t="s">
        <v>39</v>
      </c>
      <c r="F8" s="6" t="s">
        <v>45</v>
      </c>
    </row>
    <row r="9" spans="1:6" x14ac:dyDescent="0.35">
      <c r="A9" s="5">
        <v>46046</v>
      </c>
      <c r="B9" s="6" t="s">
        <v>46</v>
      </c>
      <c r="C9" s="7">
        <v>100000</v>
      </c>
      <c r="D9" s="7" t="s">
        <v>28</v>
      </c>
      <c r="E9" s="7" t="s">
        <v>39</v>
      </c>
      <c r="F9" s="6" t="s">
        <v>48</v>
      </c>
    </row>
    <row r="10" spans="1:6" x14ac:dyDescent="0.35">
      <c r="A10" s="5">
        <v>46053</v>
      </c>
      <c r="B10" s="6" t="s">
        <v>30</v>
      </c>
      <c r="C10" s="7">
        <v>115000</v>
      </c>
      <c r="D10" s="7" t="s">
        <v>28</v>
      </c>
      <c r="E10" s="7" t="s">
        <v>25</v>
      </c>
      <c r="F10" s="6" t="s">
        <v>50</v>
      </c>
    </row>
    <row r="11" spans="1:6" x14ac:dyDescent="0.35">
      <c r="A11" s="5">
        <v>46053</v>
      </c>
      <c r="B11" s="6" t="s">
        <v>37</v>
      </c>
      <c r="C11" s="7">
        <v>30000</v>
      </c>
      <c r="D11" s="7" t="s">
        <v>51</v>
      </c>
      <c r="E11" s="7" t="s">
        <v>25</v>
      </c>
      <c r="F11" s="6" t="s">
        <v>52</v>
      </c>
    </row>
    <row r="12" spans="1:6" x14ac:dyDescent="0.35">
      <c r="A12" s="5">
        <v>46053</v>
      </c>
      <c r="B12" s="6" t="s">
        <v>49</v>
      </c>
      <c r="C12" s="7">
        <v>15000</v>
      </c>
      <c r="D12" s="7" t="s">
        <v>51</v>
      </c>
      <c r="E12" s="7" t="s">
        <v>25</v>
      </c>
      <c r="F12" s="6" t="s">
        <v>53</v>
      </c>
    </row>
    <row r="13" spans="1:6" x14ac:dyDescent="0.35">
      <c r="A13" s="5">
        <v>46053</v>
      </c>
      <c r="B13" s="6" t="s">
        <v>46</v>
      </c>
      <c r="C13" s="7">
        <v>40000</v>
      </c>
      <c r="D13" s="7" t="s">
        <v>28</v>
      </c>
      <c r="E13" s="7" t="s">
        <v>39</v>
      </c>
      <c r="F13" s="6" t="s">
        <v>54</v>
      </c>
    </row>
    <row r="14" spans="1:6" x14ac:dyDescent="0.35">
      <c r="A14" s="5">
        <v>46060</v>
      </c>
      <c r="B14" s="6" t="s">
        <v>38</v>
      </c>
      <c r="C14" s="7">
        <v>144000</v>
      </c>
      <c r="D14" s="7" t="s">
        <v>28</v>
      </c>
      <c r="E14" s="7" t="s">
        <v>39</v>
      </c>
      <c r="F14" s="6" t="s">
        <v>40</v>
      </c>
    </row>
    <row r="15" spans="1:6" x14ac:dyDescent="0.35">
      <c r="A15" s="5">
        <v>46060</v>
      </c>
      <c r="B15" s="6" t="s">
        <v>49</v>
      </c>
      <c r="C15" s="7">
        <v>30000</v>
      </c>
      <c r="D15" s="7" t="s">
        <v>28</v>
      </c>
      <c r="E15" s="7" t="s">
        <v>25</v>
      </c>
      <c r="F15" s="6" t="s">
        <v>57</v>
      </c>
    </row>
    <row r="16" spans="1:6" x14ac:dyDescent="0.35">
      <c r="A16" s="5">
        <v>46062</v>
      </c>
      <c r="B16" s="6" t="s">
        <v>37</v>
      </c>
      <c r="C16" s="7">
        <v>40000</v>
      </c>
      <c r="D16" s="7" t="s">
        <v>28</v>
      </c>
      <c r="E16" s="7" t="s">
        <v>25</v>
      </c>
      <c r="F16" s="6" t="s">
        <v>52</v>
      </c>
    </row>
    <row r="17" spans="1:6" x14ac:dyDescent="0.35">
      <c r="A17" s="5">
        <v>46067</v>
      </c>
      <c r="B17" s="6" t="s">
        <v>30</v>
      </c>
      <c r="C17" s="7">
        <v>100000</v>
      </c>
      <c r="D17" s="7" t="s">
        <v>28</v>
      </c>
      <c r="E17" s="7" t="s">
        <v>25</v>
      </c>
      <c r="F17" s="6" t="s">
        <v>33</v>
      </c>
    </row>
    <row r="18" spans="1:6" x14ac:dyDescent="0.35">
      <c r="A18" s="5">
        <v>46067</v>
      </c>
      <c r="B18" s="6" t="s">
        <v>35</v>
      </c>
      <c r="C18" s="7">
        <v>100000</v>
      </c>
      <c r="D18" s="7" t="s">
        <v>28</v>
      </c>
      <c r="E18" s="7" t="s">
        <v>39</v>
      </c>
      <c r="F18" s="6" t="s">
        <v>43</v>
      </c>
    </row>
    <row r="19" spans="1:6" x14ac:dyDescent="0.35">
      <c r="A19" s="5">
        <v>46067</v>
      </c>
      <c r="B19" s="6" t="s">
        <v>49</v>
      </c>
      <c r="C19" s="7">
        <v>30000</v>
      </c>
      <c r="D19" s="7" t="s">
        <v>28</v>
      </c>
      <c r="E19" s="7" t="s">
        <v>25</v>
      </c>
      <c r="F19" s="6" t="s">
        <v>43</v>
      </c>
    </row>
    <row r="20" spans="1:6" x14ac:dyDescent="0.35">
      <c r="A20" s="5">
        <v>46074</v>
      </c>
      <c r="B20" s="6" t="s">
        <v>37</v>
      </c>
      <c r="C20" s="7">
        <v>20000</v>
      </c>
      <c r="D20" s="7" t="s">
        <v>28</v>
      </c>
      <c r="E20" s="7" t="s">
        <v>25</v>
      </c>
      <c r="F20" s="6" t="s">
        <v>43</v>
      </c>
    </row>
    <row r="21" spans="1:6" x14ac:dyDescent="0.35">
      <c r="A21" s="5">
        <v>46074</v>
      </c>
      <c r="B21" s="6" t="s">
        <v>46</v>
      </c>
      <c r="C21" s="7">
        <v>5900</v>
      </c>
      <c r="D21" s="7" t="s">
        <v>28</v>
      </c>
      <c r="E21" s="7" t="s">
        <v>39</v>
      </c>
      <c r="F21" s="6" t="s">
        <v>58</v>
      </c>
    </row>
    <row r="22" spans="1:6" x14ac:dyDescent="0.35">
      <c r="A22" s="5">
        <v>46081</v>
      </c>
      <c r="B22" s="6" t="s">
        <v>30</v>
      </c>
      <c r="C22" s="7">
        <v>100000</v>
      </c>
      <c r="D22" s="7" t="s">
        <v>28</v>
      </c>
      <c r="E22" s="7" t="s">
        <v>25</v>
      </c>
      <c r="F22" s="6" t="s">
        <v>60</v>
      </c>
    </row>
    <row r="23" spans="1:6" x14ac:dyDescent="0.35">
      <c r="A23" s="5">
        <v>46081</v>
      </c>
      <c r="B23" s="6" t="s">
        <v>59</v>
      </c>
      <c r="C23" s="7">
        <v>100000</v>
      </c>
      <c r="D23" s="7" t="s">
        <v>28</v>
      </c>
      <c r="E23" s="7" t="s">
        <v>39</v>
      </c>
      <c r="F23" s="6" t="s">
        <v>43</v>
      </c>
    </row>
    <row r="24" spans="1:6" x14ac:dyDescent="0.35">
      <c r="A24" s="5">
        <v>46086</v>
      </c>
      <c r="B24" s="6" t="s">
        <v>59</v>
      </c>
      <c r="C24" s="7">
        <v>10500</v>
      </c>
      <c r="D24" s="7" t="s">
        <v>28</v>
      </c>
      <c r="E24" s="7" t="s">
        <v>39</v>
      </c>
      <c r="F24" s="6" t="s">
        <v>61</v>
      </c>
    </row>
    <row r="25" spans="1:6" x14ac:dyDescent="0.35">
      <c r="A25" s="5">
        <v>46088</v>
      </c>
      <c r="B25" s="6" t="s">
        <v>37</v>
      </c>
      <c r="C25" s="7">
        <v>30000</v>
      </c>
      <c r="D25" s="7" t="s">
        <v>28</v>
      </c>
      <c r="E25" s="7" t="s">
        <v>25</v>
      </c>
      <c r="F25" s="6" t="s">
        <v>52</v>
      </c>
    </row>
    <row r="26" spans="1:6" x14ac:dyDescent="0.35">
      <c r="A26" s="5">
        <v>46093</v>
      </c>
      <c r="B26" s="6" t="s">
        <v>30</v>
      </c>
      <c r="C26" s="7">
        <v>50000</v>
      </c>
      <c r="D26" s="7" t="s">
        <v>51</v>
      </c>
      <c r="E26" s="7" t="s">
        <v>25</v>
      </c>
      <c r="F26" s="6" t="s">
        <v>62</v>
      </c>
    </row>
    <row r="27" spans="1:6" x14ac:dyDescent="0.35">
      <c r="A27" s="5">
        <v>46102</v>
      </c>
      <c r="B27" s="6" t="s">
        <v>35</v>
      </c>
      <c r="C27" s="7">
        <v>100000</v>
      </c>
      <c r="D27" s="7" t="s">
        <v>28</v>
      </c>
      <c r="E27" s="7" t="s">
        <v>39</v>
      </c>
      <c r="F27" s="6" t="s">
        <v>43</v>
      </c>
    </row>
    <row r="28" spans="1:6" x14ac:dyDescent="0.35">
      <c r="A28" s="5">
        <v>46102</v>
      </c>
      <c r="B28" s="6" t="s">
        <v>37</v>
      </c>
      <c r="C28" s="7">
        <v>20350</v>
      </c>
      <c r="D28" s="7" t="s">
        <v>28</v>
      </c>
      <c r="E28" s="7" t="s">
        <v>25</v>
      </c>
      <c r="F28" s="6" t="s">
        <v>64</v>
      </c>
    </row>
    <row r="29" spans="1:6" x14ac:dyDescent="0.35">
      <c r="A29" s="5">
        <v>46102</v>
      </c>
      <c r="B29" s="6" t="s">
        <v>63</v>
      </c>
      <c r="C29" s="7">
        <v>15000</v>
      </c>
      <c r="D29" s="7" t="s">
        <v>28</v>
      </c>
      <c r="E29" s="7" t="s">
        <v>25</v>
      </c>
      <c r="F29" s="6" t="s">
        <v>64</v>
      </c>
    </row>
    <row r="30" spans="1:6" x14ac:dyDescent="0.35">
      <c r="A30" s="5">
        <v>46102</v>
      </c>
      <c r="B30" s="6" t="s">
        <v>38</v>
      </c>
      <c r="C30" s="7">
        <v>144000</v>
      </c>
      <c r="D30" s="7" t="s">
        <v>28</v>
      </c>
      <c r="E30" s="7" t="s">
        <v>39</v>
      </c>
      <c r="F30" s="6" t="s">
        <v>64</v>
      </c>
    </row>
    <row r="31" spans="1:6" x14ac:dyDescent="0.35">
      <c r="A31" s="5">
        <v>46108</v>
      </c>
      <c r="B31" s="6" t="s">
        <v>35</v>
      </c>
      <c r="C31" s="7">
        <v>100000</v>
      </c>
      <c r="D31" s="7" t="s">
        <v>28</v>
      </c>
      <c r="E31" s="7" t="s">
        <v>39</v>
      </c>
      <c r="F31" s="6" t="s">
        <v>43</v>
      </c>
    </row>
    <row r="32" spans="1:6" x14ac:dyDescent="0.35">
      <c r="A32" s="5">
        <v>46116</v>
      </c>
      <c r="B32" s="6" t="s">
        <v>30</v>
      </c>
      <c r="C32" s="7">
        <v>200000</v>
      </c>
      <c r="D32" s="7" t="s">
        <v>51</v>
      </c>
      <c r="E32" s="7" t="s">
        <v>25</v>
      </c>
      <c r="F32" s="6" t="s">
        <v>65</v>
      </c>
    </row>
    <row r="33" spans="1:6" x14ac:dyDescent="0.35">
      <c r="A33" s="5">
        <v>46128</v>
      </c>
      <c r="B33" s="6" t="s">
        <v>63</v>
      </c>
      <c r="C33" s="7">
        <v>30750</v>
      </c>
      <c r="D33" s="7" t="s">
        <v>51</v>
      </c>
      <c r="E33" s="7" t="s">
        <v>25</v>
      </c>
      <c r="F33" s="6" t="s">
        <v>53</v>
      </c>
    </row>
    <row r="34" spans="1:6" x14ac:dyDescent="0.35">
      <c r="A34" s="5">
        <v>46130</v>
      </c>
      <c r="B34" s="6" t="s">
        <v>30</v>
      </c>
      <c r="C34" s="7">
        <v>100000</v>
      </c>
      <c r="D34" s="7" t="s">
        <v>51</v>
      </c>
      <c r="E34" s="7" t="s">
        <v>25</v>
      </c>
      <c r="F34" s="6" t="s">
        <v>43</v>
      </c>
    </row>
    <row r="35" spans="1:6" x14ac:dyDescent="0.35">
      <c r="A35" s="5">
        <v>46130</v>
      </c>
      <c r="B35" s="6" t="s">
        <v>35</v>
      </c>
      <c r="C35" s="7">
        <v>100000</v>
      </c>
      <c r="D35" s="7" t="s">
        <v>28</v>
      </c>
      <c r="E35" s="7" t="s">
        <v>39</v>
      </c>
      <c r="F35" s="6" t="s">
        <v>43</v>
      </c>
    </row>
    <row r="36" spans="1:6" x14ac:dyDescent="0.35">
      <c r="A36" s="5">
        <v>46137</v>
      </c>
      <c r="B36" s="6" t="s">
        <v>37</v>
      </c>
      <c r="C36" s="7">
        <v>35000</v>
      </c>
      <c r="D36" s="7" t="s">
        <v>51</v>
      </c>
      <c r="E36" s="7" t="s">
        <v>25</v>
      </c>
      <c r="F36" s="6" t="s">
        <v>43</v>
      </c>
    </row>
    <row r="37" spans="1:6" x14ac:dyDescent="0.35">
      <c r="A37" s="5">
        <v>46137</v>
      </c>
      <c r="B37" s="6" t="s">
        <v>63</v>
      </c>
      <c r="C37" s="7">
        <v>23750</v>
      </c>
      <c r="D37" s="7" t="s">
        <v>51</v>
      </c>
      <c r="E37" s="7" t="s">
        <v>25</v>
      </c>
      <c r="F37" s="6" t="s">
        <v>43</v>
      </c>
    </row>
    <row r="38" spans="1:6" x14ac:dyDescent="0.35">
      <c r="A38" s="5">
        <v>46144</v>
      </c>
      <c r="B38" s="25" t="s">
        <v>38</v>
      </c>
      <c r="C38" s="7">
        <v>120200</v>
      </c>
      <c r="D38" s="7" t="s">
        <v>28</v>
      </c>
      <c r="E38" s="7" t="s">
        <v>39</v>
      </c>
      <c r="F38" s="25" t="s">
        <v>69</v>
      </c>
    </row>
    <row r="39" spans="1:6" x14ac:dyDescent="0.35">
      <c r="A39" s="5">
        <v>46144</v>
      </c>
      <c r="B39" s="25" t="s">
        <v>63</v>
      </c>
      <c r="C39" s="7">
        <v>20000</v>
      </c>
      <c r="D39" s="7" t="s">
        <v>51</v>
      </c>
      <c r="E39" s="7" t="s">
        <v>25</v>
      </c>
      <c r="F39" s="25" t="s">
        <v>70</v>
      </c>
    </row>
    <row r="40" spans="1:6" x14ac:dyDescent="0.35">
      <c r="A40" s="5">
        <v>46144</v>
      </c>
      <c r="B40" s="25" t="s">
        <v>66</v>
      </c>
      <c r="C40" s="7">
        <v>10000</v>
      </c>
      <c r="D40" s="7" t="s">
        <v>51</v>
      </c>
      <c r="E40" s="7" t="s">
        <v>25</v>
      </c>
      <c r="F40" s="25" t="s">
        <v>43</v>
      </c>
    </row>
  </sheetData>
  <autoFilter ref="A1:F23" xr:uid="{B843CC5F-739E-45E9-AC65-8442CF552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Details</vt:lpstr>
      <vt:lpstr>Reference Table</vt:lpstr>
      <vt:lpstr>Materials Total QTY</vt:lpstr>
      <vt:lpstr>Vendor Balance Sheet</vt:lpstr>
      <vt:lpstr>Payment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Jayabalan, Tamilselvan</dc:creator>
  <cp:lastModifiedBy>Tamilselvan Jayabalan</cp:lastModifiedBy>
  <dcterms:created xsi:type="dcterms:W3CDTF">2015-06-05T18:17:20Z</dcterms:created>
  <dcterms:modified xsi:type="dcterms:W3CDTF">2026-05-02T09:55:33Z</dcterms:modified>
</cp:coreProperties>
</file>