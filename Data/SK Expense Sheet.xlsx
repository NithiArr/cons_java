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772b42a7a1256b2/Desktop/Business/TSK Constructions/Projects/Building Construction/SK Residence - Sundarapuram/Accounts/"/>
    </mc:Choice>
  </mc:AlternateContent>
  <xr:revisionPtr revIDLastSave="38" documentId="13_ncr:1_{75A8DF96-7F00-4506-A551-51A2B008097E}" xr6:coauthVersionLast="47" xr6:coauthVersionMax="47" xr10:uidLastSave="{CFBD7EC2-6BB1-47DA-BE17-6E4E26BD3D55}"/>
  <bookViews>
    <workbookView xWindow="-110" yWindow="-110" windowWidth="19420" windowHeight="11500" activeTab="1" xr2:uid="{00000000-000D-0000-FFFF-FFFF00000000}"/>
  </bookViews>
  <sheets>
    <sheet name="Payment Received" sheetId="1" r:id="rId1"/>
    <sheet name="Expenses" sheetId="2" r:id="rId2"/>
    <sheet name="DataSource" sheetId="17" r:id="rId3"/>
    <sheet name="Overview" sheetId="16" r:id="rId4"/>
    <sheet name="Detail1" sheetId="7" state="hidden" r:id="rId5"/>
  </sheets>
  <definedNames>
    <definedName name="_xlnm._FilterDatabase" localSheetId="1" hidden="1">Expenses!$A$1:$D$42</definedName>
    <definedName name="_xlnm._FilterDatabase" localSheetId="0" hidden="1">'Payment Received'!$A$1:$E$27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6" l="1"/>
  <c r="E17" i="16" s="1"/>
  <c r="D16" i="16"/>
  <c r="G32" i="1"/>
  <c r="G31" i="1"/>
  <c r="J3" i="1"/>
  <c r="J4" i="1"/>
  <c r="J2" i="2"/>
  <c r="J1" i="1"/>
  <c r="J1" i="2" s="1"/>
  <c r="J3" i="2" l="1"/>
  <c r="J5" i="2" s="1"/>
</calcChain>
</file>

<file path=xl/sharedStrings.xml><?xml version="1.0" encoding="utf-8"?>
<sst xmlns="http://schemas.openxmlformats.org/spreadsheetml/2006/main" count="1031" uniqueCount="356">
  <si>
    <t>DATE</t>
  </si>
  <si>
    <t>AMOUNT</t>
  </si>
  <si>
    <t>MODE OF PAYMENT</t>
  </si>
  <si>
    <t>DESCRIPTION</t>
  </si>
  <si>
    <t>TYPE OF EXPENSE</t>
  </si>
  <si>
    <t>PETTY CASH</t>
  </si>
  <si>
    <t>Cash Received:</t>
  </si>
  <si>
    <t>Amount Spent:</t>
  </si>
  <si>
    <t>Paid advance for Concrete Machine</t>
  </si>
  <si>
    <t>OFFICE ASSET</t>
  </si>
  <si>
    <t>Paid to Prakash for buying Concrete Machine</t>
  </si>
  <si>
    <t>Vibrator and Safety Shoe (2 nos)</t>
  </si>
  <si>
    <t>Grand Total</t>
  </si>
  <si>
    <t>Balance:</t>
  </si>
  <si>
    <t>2*3 Sheet 23nos 379Kg 400 for transport 63Rs/kg</t>
  </si>
  <si>
    <t>Details for Sum of AMOUNT - TYPE OF EXPENSE: OFFICE ASSET</t>
  </si>
  <si>
    <t>Total Amount Received:</t>
  </si>
  <si>
    <t>Total_Amount</t>
  </si>
  <si>
    <t>Expense</t>
  </si>
  <si>
    <t>CASH</t>
  </si>
  <si>
    <t>Pooja Items</t>
  </si>
  <si>
    <t>Pooja Kanika</t>
  </si>
  <si>
    <t>Helper kanikai paid fro gsquare</t>
  </si>
  <si>
    <t>Cash Payment Received as Advance</t>
  </si>
  <si>
    <t>MASON MATERIALS</t>
  </si>
  <si>
    <t>CENTRING MATERIALS</t>
  </si>
  <si>
    <t>BUILDING MATERIALS</t>
  </si>
  <si>
    <t>MASON LABOUR</t>
  </si>
  <si>
    <t>CONCRETE GROUP</t>
  </si>
  <si>
    <t>CENTRING LABOUR</t>
  </si>
  <si>
    <t>ELECTRICIAL LABOUR</t>
  </si>
  <si>
    <t>PLUMBING LABOUR</t>
  </si>
  <si>
    <t>PAINTING LABOUR</t>
  </si>
  <si>
    <t>PETROL-GENSET</t>
  </si>
  <si>
    <t>DIESEL-MACHINE</t>
  </si>
  <si>
    <t>TEA</t>
  </si>
  <si>
    <t>JCB</t>
  </si>
  <si>
    <t>CENTRING RENTALS</t>
  </si>
  <si>
    <t>RENTAL TRANSPORT</t>
  </si>
  <si>
    <t>LABOUR TRANSPORT</t>
  </si>
  <si>
    <t>OTHER TRANSPORT</t>
  </si>
  <si>
    <t>SALT WATER</t>
  </si>
  <si>
    <t>Lab Bike Petrol</t>
  </si>
  <si>
    <t>White Cement Powder</t>
  </si>
  <si>
    <t>uli suthi level tube mamutty etc</t>
  </si>
  <si>
    <t>Kadaparai Satti</t>
  </si>
  <si>
    <t>Steel Footing</t>
  </si>
  <si>
    <t xml:space="preserve">Tamil Karthi </t>
  </si>
  <si>
    <t>Lab Petrol</t>
  </si>
  <si>
    <t>Footing Earthwork</t>
  </si>
  <si>
    <t>Lever Pipe Purchase</t>
  </si>
  <si>
    <t>Materials and Labour Shifting</t>
  </si>
  <si>
    <t>OFFC ASSET</t>
  </si>
  <si>
    <t>Cutt off Machine, Marble Cutter, Hand Dryer new</t>
  </si>
  <si>
    <t>Layout Print out</t>
  </si>
  <si>
    <t>Anti Termite Oil Footing</t>
  </si>
  <si>
    <t>Dhimsu Lock Purchase</t>
  </si>
  <si>
    <t>VSN Garden to Sulur</t>
  </si>
  <si>
    <t>Sulur to VSN Garden</t>
  </si>
  <si>
    <t>Lab vehicle petrol</t>
  </si>
  <si>
    <t>Labour Drinking Water Tank</t>
  </si>
  <si>
    <t>Welder Ladder Making</t>
  </si>
  <si>
    <t>Fitter Labour</t>
  </si>
  <si>
    <t>Raj lab payment</t>
  </si>
  <si>
    <t>Mattakool</t>
  </si>
  <si>
    <t>Steel purchase transport</t>
  </si>
  <si>
    <t>Lab petrol</t>
  </si>
  <si>
    <t>Footing Side sheet Adv</t>
  </si>
  <si>
    <t>Oil Barrallel</t>
  </si>
  <si>
    <t>Barallel Porter</t>
  </si>
  <si>
    <t>Kannan Extra</t>
  </si>
  <si>
    <t>Lab Transport cab 3 times</t>
  </si>
  <si>
    <t>Column Box Footing Adv</t>
  </si>
  <si>
    <t>Porter Maram Wheelbar Palagai</t>
  </si>
  <si>
    <t>15m meter tape</t>
  </si>
  <si>
    <t>Waste oil</t>
  </si>
  <si>
    <t>12000 nos Bricks</t>
  </si>
  <si>
    <t>Cash with Rajkumar Balance</t>
  </si>
  <si>
    <t>Refilling footing</t>
  </si>
  <si>
    <t>Amount Received from Happy Town</t>
  </si>
  <si>
    <t>PAID BY</t>
  </si>
  <si>
    <t>SK</t>
  </si>
  <si>
    <t>TSK</t>
  </si>
  <si>
    <t>Mason Advance</t>
  </si>
  <si>
    <t>DIESEL</t>
  </si>
  <si>
    <t>Broom stick</t>
  </si>
  <si>
    <t>Labour Vessels Cooking</t>
  </si>
  <si>
    <t>Vehicle Diesel</t>
  </si>
  <si>
    <t>Steel upto belt Purchase</t>
  </si>
  <si>
    <t xml:space="preserve">Cement Payment </t>
  </si>
  <si>
    <t>Fitter Weekly Labour</t>
  </si>
  <si>
    <t>Mason Weekly Labour</t>
  </si>
  <si>
    <t>Labour Tea Weekly Payment</t>
  </si>
  <si>
    <t>Footing Concrete</t>
  </si>
  <si>
    <t>Ayudha Pooja Labour</t>
  </si>
  <si>
    <t>Mason Advance Rajkumar</t>
  </si>
  <si>
    <t>Gsquare to VSN Lab Auto Fitter</t>
  </si>
  <si>
    <t>Porter Palagai</t>
  </si>
  <si>
    <t>Amount Received from Client</t>
  </si>
  <si>
    <t>UPI</t>
  </si>
  <si>
    <t>Cash Received by Tamil</t>
  </si>
  <si>
    <t>Weekly lab payment rajkumar</t>
  </si>
  <si>
    <t>Fitter Lab Payment Ramesh</t>
  </si>
  <si>
    <t>VSN Garden to Sulur Fitter grade beam work</t>
  </si>
  <si>
    <t>Cash Transfer from Happy Town</t>
  </si>
  <si>
    <t>Cash Received from Happy Town</t>
  </si>
  <si>
    <t>Grade Beam Sump side wall Septic Top Slab</t>
  </si>
  <si>
    <t>Pending weekly payment</t>
  </si>
  <si>
    <t xml:space="preserve">Bond 5 nos Krumal Thagudu </t>
  </si>
  <si>
    <t>Kanna Extra lab</t>
  </si>
  <si>
    <t>SALARY</t>
  </si>
  <si>
    <t>Tamil Karthi Salary</t>
  </si>
  <si>
    <t>Rajkumar adv Cash</t>
  </si>
  <si>
    <t xml:space="preserve"> Tamil Karthi</t>
  </si>
  <si>
    <t>Gsquare to VSN Lab Auto Fitter basement work</t>
  </si>
  <si>
    <t>90K cash 10K Tamil acc</t>
  </si>
  <si>
    <t>Mason Labour Rajkumar</t>
  </si>
  <si>
    <t>Cement Payment Palani Murugan</t>
  </si>
  <si>
    <t>Column Shoe 3 nos</t>
  </si>
  <si>
    <t>Side Sheet Amount Grade beam</t>
  </si>
  <si>
    <t>RO Water</t>
  </si>
  <si>
    <t>Consolidation Water</t>
  </si>
  <si>
    <t>Lab Tea Weekly Payment</t>
  </si>
  <si>
    <t>Basement Filling</t>
  </si>
  <si>
    <t>Waste oil Column box</t>
  </si>
  <si>
    <t>RO WATER</t>
  </si>
  <si>
    <t>Labour Auto VSN to Gsquare Fitter</t>
  </si>
  <si>
    <t>Krishnan Salary</t>
  </si>
  <si>
    <t>Basement Part Payment</t>
  </si>
  <si>
    <t>Ramesh Fitter Labour</t>
  </si>
  <si>
    <t>RSK Part Payment</t>
  </si>
  <si>
    <t>Basement PCC Column Concrete</t>
  </si>
  <si>
    <t>Kannan Honest Extra</t>
  </si>
  <si>
    <t>Tamil Karthi</t>
  </si>
  <si>
    <t>Mason Diwali Amt</t>
  </si>
  <si>
    <t>Saravanan Advance</t>
  </si>
  <si>
    <t>Lab weekly tea</t>
  </si>
  <si>
    <t>Brick payment</t>
  </si>
  <si>
    <t>Cement Payment</t>
  </si>
  <si>
    <t>Steel Payment</t>
  </si>
  <si>
    <t>Car Diesel</t>
  </si>
  <si>
    <t>Basement Bal Payment</t>
  </si>
  <si>
    <t>Nails for Lindel GF</t>
  </si>
  <si>
    <t>Sara Kairu Karandi</t>
  </si>
  <si>
    <t>Drinking Water</t>
  </si>
  <si>
    <t>Palagi from Happy Town</t>
  </si>
  <si>
    <t>Structural Part Payment Design</t>
  </si>
  <si>
    <t>7' puttu maram</t>
  </si>
  <si>
    <t>Rajkumar lab payment</t>
  </si>
  <si>
    <t>Weekly lab tea</t>
  </si>
  <si>
    <t>Tamil Karthi Tea</t>
  </si>
  <si>
    <t>Rajkumar Bal tea amount</t>
  </si>
  <si>
    <t>Lindel Part Payment</t>
  </si>
  <si>
    <t>Mason adv lab</t>
  </si>
  <si>
    <t>Weekly lab Tea</t>
  </si>
  <si>
    <t>Centring Palagai Maram Shifting</t>
  </si>
  <si>
    <t>Nails and Blade</t>
  </si>
  <si>
    <t>Fitter advance</t>
  </si>
  <si>
    <t>Fitter Advance</t>
  </si>
  <si>
    <t>Weekly lab payment</t>
  </si>
  <si>
    <t>Rajkumar labour payment</t>
  </si>
  <si>
    <t>Fitter to Npalayam</t>
  </si>
  <si>
    <t>Ak steels part  payment</t>
  </si>
  <si>
    <t>Nails blade mercury level for GF roof</t>
  </si>
  <si>
    <t>Honest extra</t>
  </si>
  <si>
    <t>Rapido frm Npalayam Fitter</t>
  </si>
  <si>
    <t>GF Roof Sheet Rentals</t>
  </si>
  <si>
    <t>Blade 2 nos</t>
  </si>
  <si>
    <t>Ramesh Fitter Labour Roof Shuttering</t>
  </si>
  <si>
    <t>Kannan and Honest Extra amount</t>
  </si>
  <si>
    <t>Ak steels part  payment roof</t>
  </si>
  <si>
    <t>Ramesh bal amt Sal</t>
  </si>
  <si>
    <t>VSN to Happy town fitter</t>
  </si>
  <si>
    <t>Porter palagai from VSN</t>
  </si>
  <si>
    <t>Concrete Pooja Expense</t>
  </si>
  <si>
    <t>Fitter Labour Ramesh</t>
  </si>
  <si>
    <t>Roof pipe labour</t>
  </si>
  <si>
    <t>Concrete roof payment</t>
  </si>
  <si>
    <t>AK Steels part payment</t>
  </si>
  <si>
    <t xml:space="preserve">Palani muugan payment </t>
  </si>
  <si>
    <t>Last week balance xtra amount</t>
  </si>
  <si>
    <t>Roof part payment</t>
  </si>
  <si>
    <t>Labour Weekly Tea</t>
  </si>
  <si>
    <t>Verified</t>
  </si>
  <si>
    <t>Rajkumar Advance</t>
  </si>
  <si>
    <t>Lift Machine shifting Porter</t>
  </si>
  <si>
    <t xml:space="preserve">Column Shoe Adv </t>
  </si>
  <si>
    <t>Labour Drinking Water</t>
  </si>
  <si>
    <t>Rasamattam Marker</t>
  </si>
  <si>
    <t>Porter sheet shifting from podanur</t>
  </si>
  <si>
    <t>Rajkumar lab paytment</t>
  </si>
  <si>
    <t>Selvam switch box repair</t>
  </si>
  <si>
    <t>Ramesh fitter labour</t>
  </si>
  <si>
    <t>Kannan Xtra</t>
  </si>
  <si>
    <t>Rajkumar Materials</t>
  </si>
  <si>
    <t>Mason Adv Rajkumar</t>
  </si>
  <si>
    <t>Ramesh -roof deshuttering</t>
  </si>
  <si>
    <t>kannan xtra</t>
  </si>
  <si>
    <t>Marking GF</t>
  </si>
  <si>
    <t>AK Steels payment</t>
  </si>
  <si>
    <t>Ramdev Roof pipe pending amount</t>
  </si>
  <si>
    <t>5k nos Pari Brick 12 rs</t>
  </si>
  <si>
    <t>Rajkumar lab adv</t>
  </si>
  <si>
    <t>Porter palagai from Gsqr</t>
  </si>
  <si>
    <t>Electrical labour Gaudi work GF</t>
  </si>
  <si>
    <t>Rajkumar mason lab</t>
  </si>
  <si>
    <t>Seemaru Sponge Greece</t>
  </si>
  <si>
    <t>Cement Part Payment</t>
  </si>
  <si>
    <t>Step Advance</t>
  </si>
  <si>
    <t>FABRICATON WORK</t>
  </si>
  <si>
    <t>Payment to AK Steels - Roof</t>
  </si>
  <si>
    <t>Payment to RSK - Roof</t>
  </si>
  <si>
    <t>Lindel stage amount</t>
  </si>
  <si>
    <t>Ramesh fitter weekly payment</t>
  </si>
  <si>
    <t>SK Roof pipe</t>
  </si>
  <si>
    <t>Rajkumar Wheel bar Welding</t>
  </si>
  <si>
    <t>Fittr auto</t>
  </si>
  <si>
    <t>Advance</t>
  </si>
  <si>
    <t>Maram palagai from Gsqr FF roof</t>
  </si>
  <si>
    <t>DESIGN</t>
  </si>
  <si>
    <t>Structural Pending Fees</t>
  </si>
  <si>
    <t xml:space="preserve">Nails Blade </t>
  </si>
  <si>
    <t>Ramesh fitter lab</t>
  </si>
  <si>
    <t>GF Staircase Party Amt</t>
  </si>
  <si>
    <t>Cement Pending Amount</t>
  </si>
  <si>
    <t>Porter Maram</t>
  </si>
  <si>
    <t>Tea lunch</t>
  </si>
  <si>
    <t>Nails roof bal 40 with master</t>
  </si>
  <si>
    <t>1L TK Withdraw</t>
  </si>
  <si>
    <t>Ramesh adv</t>
  </si>
  <si>
    <t>Kannan pongal</t>
  </si>
  <si>
    <t>Suresh adv</t>
  </si>
  <si>
    <t>Ramesh pending weekly payment</t>
  </si>
  <si>
    <t>Petrol for curing</t>
  </si>
  <si>
    <t>Maatakool for plastering</t>
  </si>
  <si>
    <t>Last week pending labour Rajkumar</t>
  </si>
  <si>
    <t>Steps Bal amount</t>
  </si>
  <si>
    <t>AMT Roof Sheet Advance</t>
  </si>
  <si>
    <t>Mattakool balance amt</t>
  </si>
  <si>
    <t xml:space="preserve">Ramesh Balance amt </t>
  </si>
  <si>
    <t xml:space="preserve">Blade </t>
  </si>
  <si>
    <t>FF Roof Concrete work</t>
  </si>
  <si>
    <t>Cement Part Payment NV Associates</t>
  </si>
  <si>
    <t>Tamil karthi</t>
  </si>
  <si>
    <t>Drinking water</t>
  </si>
  <si>
    <t>Tamil Karthi Offc Mam</t>
  </si>
  <si>
    <t>Wate oil</t>
  </si>
  <si>
    <t>FF Roof part payment - Paid to RSK</t>
  </si>
  <si>
    <t>Mason Lab Payment</t>
  </si>
  <si>
    <t xml:space="preserve">FF Roof part payment </t>
  </si>
  <si>
    <t>Sudha FC  Payment</t>
  </si>
  <si>
    <t>NV Associates payment</t>
  </si>
  <si>
    <t>Joineries adv - 180K Cash 20K Acc TSK</t>
  </si>
  <si>
    <t>JOINERIES</t>
  </si>
  <si>
    <t>Teak wood purchase advance</t>
  </si>
  <si>
    <t>Cement payment</t>
  </si>
  <si>
    <t>3000 nos bricks</t>
  </si>
  <si>
    <t>Balance amount Vinayaka timbers</t>
  </si>
  <si>
    <t>FF Roof part payment</t>
  </si>
  <si>
    <t>FF Gaudi work</t>
  </si>
  <si>
    <t>Offc Mam Salary</t>
  </si>
  <si>
    <t>Rajkumar Mason Lab</t>
  </si>
  <si>
    <t>FF Pipe Work</t>
  </si>
  <si>
    <t>Mason Adv</t>
  </si>
  <si>
    <t>45k CASH 5K UPI</t>
  </si>
  <si>
    <t>Porter Maram from Gsquare</t>
  </si>
  <si>
    <t>Steel shifting from DSP site</t>
  </si>
  <si>
    <t>Received Cash</t>
  </si>
  <si>
    <t>Nails blade wood cutter</t>
  </si>
  <si>
    <t>Material Purchase</t>
  </si>
  <si>
    <t>Ramesh fitter adv</t>
  </si>
  <si>
    <t>Lab tea</t>
  </si>
  <si>
    <t>Ramesh fitter</t>
  </si>
  <si>
    <t>Chakra payment</t>
  </si>
  <si>
    <t>AKM sheet Rental</t>
  </si>
  <si>
    <t>CARPENTER LABOUR</t>
  </si>
  <si>
    <t>Lab Tea Nithish</t>
  </si>
  <si>
    <t>Cutting Blade Nithish</t>
  </si>
  <si>
    <t>Porter from Gsquare</t>
  </si>
  <si>
    <t>Happy twn to Gsqr auto - From Gsqr Sk site</t>
  </si>
  <si>
    <t>Nails for roof SF</t>
  </si>
  <si>
    <t>AK Steels</t>
  </si>
  <si>
    <t>ACC</t>
  </si>
  <si>
    <t>Received 70K in Company Acc</t>
  </si>
  <si>
    <t>GST</t>
  </si>
  <si>
    <t>Rajkumar suthi purchase - Nithish</t>
  </si>
  <si>
    <t>Lab Tea</t>
  </si>
  <si>
    <t>Sara Kairu 2 bundles Broom stick</t>
  </si>
  <si>
    <t>Oil and Blade</t>
  </si>
  <si>
    <t>Lab transport from DSP fitter</t>
  </si>
  <si>
    <t>Ramesh Lab Adv</t>
  </si>
  <si>
    <t>Received 30K in Company Acc</t>
  </si>
  <si>
    <t>Curing Oose</t>
  </si>
  <si>
    <t>Sponge and Chicken Mesh</t>
  </si>
  <si>
    <t>Selvam Roof Pipe Work</t>
  </si>
  <si>
    <t>Prakash Roof Concrete</t>
  </si>
  <si>
    <t>Carpenter Lab</t>
  </si>
  <si>
    <t>Wood primer</t>
  </si>
  <si>
    <t>Nilavu poojai</t>
  </si>
  <si>
    <t>Echanari brick shifting (Adjusted in Material Expense)</t>
  </si>
  <si>
    <t>Prasanth Labour Adv</t>
  </si>
  <si>
    <t>Clamp n nails - Nithish</t>
  </si>
  <si>
    <t>Drinking water Nithish</t>
  </si>
  <si>
    <t>Machine Key hand machine - Nithish</t>
  </si>
  <si>
    <t>Azhagiri - Nithish</t>
  </si>
  <si>
    <t>Lift machine greece n spanner - Nithish</t>
  </si>
  <si>
    <t>Lab Tea Print out</t>
  </si>
  <si>
    <t>Received by Karthi</t>
  </si>
  <si>
    <t>Lab Adv</t>
  </si>
  <si>
    <t>Elevation design adv</t>
  </si>
  <si>
    <t>Fibre Mesh Nithish</t>
  </si>
  <si>
    <t>Clamp Nithish</t>
  </si>
  <si>
    <t>Drinking Water Nithish</t>
  </si>
  <si>
    <t>Fibre Mesh and Cutting Blade</t>
  </si>
  <si>
    <t>Rajkumar Lab payment</t>
  </si>
  <si>
    <t>Ramesh Fitter Lab</t>
  </si>
  <si>
    <t>Gaudi work</t>
  </si>
  <si>
    <t>PILE-COMPOUND</t>
  </si>
  <si>
    <t>Muthu Compund Work</t>
  </si>
  <si>
    <t>Vishnu Window Grill</t>
  </si>
  <si>
    <t>Received by Tamil</t>
  </si>
  <si>
    <t>Mason Lab Advance</t>
  </si>
  <si>
    <t>Selvam SF Pipe work</t>
  </si>
  <si>
    <t>Pipe purchase by Selvam SF</t>
  </si>
  <si>
    <t>Azhgiri Mason Advance</t>
  </si>
  <si>
    <t>Elevation Design Pending Amount</t>
  </si>
  <si>
    <t>Flyash Brick</t>
  </si>
  <si>
    <t>Painting Adv</t>
  </si>
  <si>
    <t>Received by Nithish</t>
  </si>
  <si>
    <t>UPVC Advance</t>
  </si>
  <si>
    <t>Tiles amount</t>
  </si>
  <si>
    <t>Rajkumar Mason Payment</t>
  </si>
  <si>
    <t>Selvam Plumbing and Electrical Work</t>
  </si>
  <si>
    <t>Painter Adv</t>
  </si>
  <si>
    <t>Ramdev Payment</t>
  </si>
  <si>
    <t>Elevation Adv new design</t>
  </si>
  <si>
    <t>Tiles transport amt</t>
  </si>
  <si>
    <t>OTHERS</t>
  </si>
  <si>
    <t>Tiles Unloading Labour</t>
  </si>
  <si>
    <t>Tiles remaining purchase</t>
  </si>
  <si>
    <t>Ramdev Hardwares</t>
  </si>
  <si>
    <t>Selvam Plumbing</t>
  </si>
  <si>
    <t>Carpenter Adv Craving</t>
  </si>
  <si>
    <t>SCAFFOLDING</t>
  </si>
  <si>
    <t>Elevation Charges Pending</t>
  </si>
  <si>
    <t>Lab Payment</t>
  </si>
  <si>
    <t>Toilet Waterproofing Probhu</t>
  </si>
  <si>
    <t>AMT sheet part amount</t>
  </si>
  <si>
    <t>Maosn Lab</t>
  </si>
  <si>
    <t>Tiles Paste Transport</t>
  </si>
  <si>
    <t>TILES LABOUR</t>
  </si>
  <si>
    <t>Tiles Advance</t>
  </si>
  <si>
    <t>Plumbing Work</t>
  </si>
  <si>
    <t>Terrace StepsGrill Adv</t>
  </si>
  <si>
    <t>Tiles Paste 20 Bags</t>
  </si>
  <si>
    <t>Chakra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</si>
</sst>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dd/mm/yy"/>
    <numFmt numFmtId="165" formatCode="&quot;₹&quot;\ #,##0.00;[Red]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1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5" fontId="1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14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pivotButton="1" applyBorder="1"/>
    <xf numFmtId="0" fontId="4" fillId="0" borderId="1" xfId="0" applyFont="1" applyBorder="1"/>
    <xf numFmtId="0" fontId="3" fillId="0" borderId="0" xfId="0" applyFont="1"/>
    <xf numFmtId="8" fontId="0" fillId="0" borderId="1" xfId="0" applyNumberFormat="1" applyBorder="1"/>
    <xf numFmtId="8" fontId="0" fillId="0" borderId="0" xfId="0" applyNumberFormat="1"/>
    <xf numFmtId="164" fontId="0" fillId="2" borderId="1" xfId="0" applyNumberFormat="1" applyFill="1" applyBorder="1"/>
    <xf numFmtId="0" fontId="0" fillId="2" borderId="1" xfId="0" applyFill="1" applyBorder="1"/>
    <xf numFmtId="165" fontId="0" fillId="2" borderId="1" xfId="0" applyNumberFormat="1" applyFill="1" applyBorder="1"/>
    <xf numFmtId="164" fontId="0" fillId="3" borderId="1" xfId="0" applyNumberFormat="1" applyFill="1" applyBorder="1"/>
    <xf numFmtId="0" fontId="0" fillId="3" borderId="1" xfId="0" applyFill="1" applyBorder="1"/>
    <xf numFmtId="165" fontId="0" fillId="3" borderId="1" xfId="0" applyNumberFormat="1" applyFill="1" applyBorder="1"/>
    <xf numFmtId="0" fontId="0" fillId="2" borderId="0" xfId="0" applyFill="1"/>
    <xf numFmtId="0" fontId="0" fillId="0" borderId="2" xfId="0" applyBorder="1"/>
    <xf numFmtId="0" fontId="0" fillId="2" borderId="1" xfId="0" applyFill="1" applyBorder="1" applyAlignment="1">
      <alignment horizontal="left"/>
    </xf>
    <xf numFmtId="0" fontId="0" fillId="0" borderId="2" xfId="0" applyFill="1" applyBorder="1"/>
  </cellXfs>
  <cellStyles count="1">
    <cellStyle name="Normal" xfId="0" builtinId="0"/>
  </cellStyles>
  <dxfs count="9"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2" formatCode="&quot;₹&quot;\ #,##0.00;[Red]&quot;₹&quot;\ \-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MIL" refreshedDate="46157.6627912037" createdVersion="8" refreshedVersion="8" minRefreshableVersion="3" recordCount="394" xr:uid="{ECDDBE9B-8132-48D6-AEC8-4A5EB49DBA77}">
  <cacheSource type="worksheet">
    <worksheetSource ref="A1:D1007" sheet="Expenses"/>
  </cacheSource>
  <cacheFields count="4">
    <cacheField name="DATE" numFmtId="164">
      <sharedItems containsNonDate="0" containsDate="1" containsString="0" containsBlank="1" minDate="2025-01-14T00:00:00" maxDate="2026-05-14T00:00:00"/>
    </cacheField>
    <cacheField name="TYPE OF EXPENSE" numFmtId="0">
      <sharedItems containsBlank="1" count="29">
        <s v="PETTY CASH"/>
        <s v="LABOUR TRANSPORT"/>
        <s v="MASON MATERIALS"/>
        <s v="BUILDING MATERIALS"/>
        <s v="TEA"/>
        <s v="JCB"/>
        <s v="CENTRING MATERIALS"/>
        <s v="OTHER TRANSPORT"/>
        <s v="OFFC ASSET"/>
        <s v="CENTRING LABOUR"/>
        <s v="MASON LABOUR"/>
        <s v="CENTRING RENTALS"/>
        <s v="DIESEL"/>
        <s v="CONCRETE GROUP"/>
        <s v="SALARY"/>
        <s v="RO WATER"/>
        <s v="SALT WATER"/>
        <s v="ELECTRICIAL LABOUR"/>
        <s v="FABRICATON WORK"/>
        <s v="DESIGN"/>
        <s v="JOINERIES"/>
        <s v="CARPENTER LABOUR"/>
        <s v="PILE-COMPOUND"/>
        <s v="PAINTING LABOUR"/>
        <s v="OTHERS"/>
        <m/>
        <s v="RENTAL TRANSPORT" u="1"/>
        <s v="PETROL-GENSET" u="1"/>
        <s v="DIESEL-MACHINE" u="1"/>
      </sharedItems>
    </cacheField>
    <cacheField name="AMOUNT" numFmtId="165">
      <sharedItems containsString="0" containsBlank="1" containsNumber="1" containsInteger="1" minValue="30" maxValue="200000"/>
    </cacheField>
    <cacheField name="DESCRIP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d v="2025-09-11T00:00:00"/>
    <x v="0"/>
    <n v="790"/>
    <s v="Pooja Items"/>
  </r>
  <r>
    <d v="2025-09-11T00:00:00"/>
    <x v="0"/>
    <n v="500"/>
    <s v="Pooja Kanika"/>
  </r>
  <r>
    <d v="2025-09-11T00:00:00"/>
    <x v="0"/>
    <n v="200"/>
    <s v="Helper kanikai paid fro gsquare"/>
  </r>
  <r>
    <d v="2025-09-16T00:00:00"/>
    <x v="1"/>
    <n v="100"/>
    <s v="Lab Bike Petrol"/>
  </r>
  <r>
    <d v="2025-09-17T00:00:00"/>
    <x v="1"/>
    <n v="100"/>
    <s v="Lab Bike Petrol"/>
  </r>
  <r>
    <d v="2025-09-17T00:00:00"/>
    <x v="0"/>
    <n v="90"/>
    <s v="White Cement Powder"/>
  </r>
  <r>
    <d v="2025-09-18T00:00:00"/>
    <x v="2"/>
    <n v="2400"/>
    <s v="uli suthi level tube mamutty etc"/>
  </r>
  <r>
    <d v="2025-09-18T00:00:00"/>
    <x v="2"/>
    <n v="1140"/>
    <s v="Kadaparai Satti"/>
  </r>
  <r>
    <d v="2025-09-18T00:00:00"/>
    <x v="3"/>
    <n v="90780"/>
    <s v="Steel Footing"/>
  </r>
  <r>
    <d v="2025-09-18T00:00:00"/>
    <x v="4"/>
    <n v="80"/>
    <s v="Tamil Karthi "/>
  </r>
  <r>
    <d v="2025-09-18T00:00:00"/>
    <x v="4"/>
    <n v="130"/>
    <s v="Tamil Karthi "/>
  </r>
  <r>
    <d v="2025-09-18T00:00:00"/>
    <x v="1"/>
    <n v="100"/>
    <s v="Lab Petrol"/>
  </r>
  <r>
    <d v="2025-09-18T00:00:00"/>
    <x v="5"/>
    <n v="9700"/>
    <s v="Footing Earthwork"/>
  </r>
  <r>
    <d v="2025-09-18T00:00:00"/>
    <x v="6"/>
    <n v="650"/>
    <s v="Lever Pipe Purchase"/>
  </r>
  <r>
    <d v="2025-09-19T00:00:00"/>
    <x v="7"/>
    <n v="1100"/>
    <s v="Materials and Labour Shifting"/>
  </r>
  <r>
    <d v="2025-09-19T00:00:00"/>
    <x v="8"/>
    <n v="19500"/>
    <s v="Cutt off Machine, Marble Cutter, Hand Dryer new"/>
  </r>
  <r>
    <d v="2025-09-19T00:00:00"/>
    <x v="0"/>
    <n v="100"/>
    <s v="Layout Print out"/>
  </r>
  <r>
    <d v="2025-09-19T00:00:00"/>
    <x v="0"/>
    <n v="1580"/>
    <s v="Anti Termite Oil Footing"/>
  </r>
  <r>
    <d v="2025-09-19T00:00:00"/>
    <x v="2"/>
    <n v="870"/>
    <s v="Dhimsu Lock Purchase"/>
  </r>
  <r>
    <d v="2025-09-19T00:00:00"/>
    <x v="4"/>
    <n v="40"/>
    <s v="Tamil Karthi "/>
  </r>
  <r>
    <d v="2025-09-19T00:00:00"/>
    <x v="1"/>
    <n v="500"/>
    <s v="VSN Garden to Sulur"/>
  </r>
  <r>
    <d v="2025-09-20T00:00:00"/>
    <x v="1"/>
    <n v="715"/>
    <s v="Sulur to VSN Garden"/>
  </r>
  <r>
    <d v="2025-09-20T00:00:00"/>
    <x v="1"/>
    <n v="200"/>
    <s v="Lab vehicle petrol"/>
  </r>
  <r>
    <d v="2025-09-20T00:00:00"/>
    <x v="0"/>
    <n v="4100"/>
    <s v="Labour Drinking Water Tank"/>
  </r>
  <r>
    <d v="2025-09-20T00:00:00"/>
    <x v="4"/>
    <n v="80"/>
    <s v="Tamil Karthi "/>
  </r>
  <r>
    <d v="2025-09-20T00:00:00"/>
    <x v="0"/>
    <n v="200"/>
    <s v="Welder Ladder Making"/>
  </r>
  <r>
    <d v="2025-09-20T00:00:00"/>
    <x v="9"/>
    <n v="3300"/>
    <s v="Fitter Labour"/>
  </r>
  <r>
    <d v="2025-09-20T00:00:00"/>
    <x v="10"/>
    <n v="2850"/>
    <s v="Raj lab payment"/>
  </r>
  <r>
    <d v="2025-09-20T00:00:00"/>
    <x v="1"/>
    <n v="700"/>
    <s v="VSN Garden to Sulur"/>
  </r>
  <r>
    <d v="2025-09-20T00:00:00"/>
    <x v="2"/>
    <n v="1680"/>
    <s v="Mattakool"/>
  </r>
  <r>
    <d v="2025-09-20T00:00:00"/>
    <x v="6"/>
    <n v="720"/>
    <s v="Lever Pipe Purchase"/>
  </r>
  <r>
    <d v="2025-09-21T00:00:00"/>
    <x v="7"/>
    <n v="1800"/>
    <s v="Steel purchase transport"/>
  </r>
  <r>
    <d v="2025-09-21T00:00:00"/>
    <x v="1"/>
    <n v="700"/>
    <s v="Sulur to VSN Garden"/>
  </r>
  <r>
    <d v="2025-09-22T00:00:00"/>
    <x v="1"/>
    <n v="100"/>
    <s v="Lab Petrol"/>
  </r>
  <r>
    <d v="2025-09-22T00:00:00"/>
    <x v="1"/>
    <n v="2000"/>
    <s v="Lab Transport cab 3 times"/>
  </r>
  <r>
    <d v="2025-09-22T00:00:00"/>
    <x v="11"/>
    <n v="1200"/>
    <s v="Footing Side sheet Adv"/>
  </r>
  <r>
    <d v="2025-09-22T00:00:00"/>
    <x v="4"/>
    <n v="100"/>
    <s v="Tamil Karthi "/>
  </r>
  <r>
    <d v="2025-09-23T00:00:00"/>
    <x v="0"/>
    <n v="400"/>
    <s v="Tamil Karthi "/>
  </r>
  <r>
    <d v="2025-09-23T00:00:00"/>
    <x v="2"/>
    <n v="1400"/>
    <s v="Oil Barrallel"/>
  </r>
  <r>
    <d v="2025-09-23T00:00:00"/>
    <x v="7"/>
    <n v="630"/>
    <s v="Barallel Porter"/>
  </r>
  <r>
    <d v="2025-09-23T00:00:00"/>
    <x v="9"/>
    <n v="100"/>
    <s v="Kannan Extra"/>
  </r>
  <r>
    <d v="2025-09-23T00:00:00"/>
    <x v="12"/>
    <n v="2000"/>
    <s v="Vehicle Diesel"/>
  </r>
  <r>
    <d v="2025-09-23T00:00:00"/>
    <x v="0"/>
    <n v="100"/>
    <s v="Broom stick"/>
  </r>
  <r>
    <d v="2025-09-23T00:00:00"/>
    <x v="0"/>
    <n v="1850"/>
    <s v="Labour Vessels Cooking"/>
  </r>
  <r>
    <d v="2025-09-24T00:00:00"/>
    <x v="11"/>
    <n v="4000"/>
    <s v="Column Box Footing Adv"/>
  </r>
  <r>
    <d v="2025-09-24T00:00:00"/>
    <x v="7"/>
    <n v="1090"/>
    <s v="Porter Maram Wheelbar Palagai"/>
  </r>
  <r>
    <d v="2025-09-24T00:00:00"/>
    <x v="0"/>
    <n v="300"/>
    <s v="15m meter tape"/>
  </r>
  <r>
    <d v="2025-09-24T00:00:00"/>
    <x v="0"/>
    <n v="500"/>
    <s v="Waste oil"/>
  </r>
  <r>
    <d v="2025-09-24T00:00:00"/>
    <x v="4"/>
    <n v="50"/>
    <s v="Tamil Karthi "/>
  </r>
  <r>
    <d v="2025-09-24T00:00:00"/>
    <x v="10"/>
    <n v="2000"/>
    <s v="Mason Advance"/>
  </r>
  <r>
    <d v="2025-09-24T00:00:00"/>
    <x v="1"/>
    <n v="500"/>
    <s v="VSN Garden to Sulur"/>
  </r>
  <r>
    <d v="2025-09-25T00:00:00"/>
    <x v="3"/>
    <n v="136500"/>
    <s v="12000 nos Bricks"/>
  </r>
  <r>
    <d v="2025-09-25T00:00:00"/>
    <x v="10"/>
    <n v="200"/>
    <s v="Cash with Rajkumar Balance"/>
  </r>
  <r>
    <d v="2025-09-25T00:00:00"/>
    <x v="5"/>
    <n v="6000"/>
    <s v="Refilling footing"/>
  </r>
  <r>
    <d v="2025-09-27T00:00:00"/>
    <x v="12"/>
    <n v="2000"/>
    <s v="Vehicle Diesel"/>
  </r>
  <r>
    <d v="2025-09-27T00:00:00"/>
    <x v="3"/>
    <n v="80600"/>
    <s v="Steel upto belt Purchase"/>
  </r>
  <r>
    <d v="2025-09-27T00:00:00"/>
    <x v="3"/>
    <n v="37200"/>
    <s v="Cement Payment "/>
  </r>
  <r>
    <d v="2025-09-27T00:00:00"/>
    <x v="9"/>
    <n v="15100"/>
    <s v="Fitter Weekly Labour"/>
  </r>
  <r>
    <d v="2025-09-27T00:00:00"/>
    <x v="10"/>
    <n v="27500"/>
    <s v="Mason Weekly Labour"/>
  </r>
  <r>
    <d v="2025-09-27T00:00:00"/>
    <x v="4"/>
    <n v="1000"/>
    <s v="Labour Tea Weekly Payment"/>
  </r>
  <r>
    <d v="2025-09-28T00:00:00"/>
    <x v="13"/>
    <n v="11000"/>
    <s v="Footing Concrete"/>
  </r>
  <r>
    <d v="2025-09-30T00:00:00"/>
    <x v="9"/>
    <n v="400"/>
    <s v="Kannan Extra"/>
  </r>
  <r>
    <d v="2025-10-01T00:00:00"/>
    <x v="0"/>
    <n v="500"/>
    <s v="Ayudha Pooja Labour"/>
  </r>
  <r>
    <d v="2025-10-01T00:00:00"/>
    <x v="10"/>
    <n v="5000"/>
    <s v="Mason Advance Rajkumar"/>
  </r>
  <r>
    <d v="2025-10-01T00:00:00"/>
    <x v="1"/>
    <n v="515"/>
    <s v="Gsquare to VSN Lab Auto Fitter"/>
  </r>
  <r>
    <d v="2025-10-03T00:00:00"/>
    <x v="7"/>
    <n v="1050"/>
    <s v="Porter Palagai"/>
  </r>
  <r>
    <d v="2025-10-04T00:00:00"/>
    <x v="10"/>
    <n v="25000"/>
    <s v="Weekly lab payment rajkumar"/>
  </r>
  <r>
    <d v="2025-10-04T00:00:00"/>
    <x v="9"/>
    <n v="9000"/>
    <s v="Fitter Lab Payment Ramesh"/>
  </r>
  <r>
    <d v="2025-10-05T00:00:00"/>
    <x v="1"/>
    <n v="500"/>
    <s v="VSN Garden to Sulur Fitter grade beam work"/>
  </r>
  <r>
    <d v="2025-10-06T00:00:00"/>
    <x v="4"/>
    <n v="195"/>
    <s v="Tamil Karthi "/>
  </r>
  <r>
    <d v="2025-10-06T00:00:00"/>
    <x v="13"/>
    <n v="14000"/>
    <s v="Grade Beam Sump side wall Septic Top Slab"/>
  </r>
  <r>
    <d v="2025-10-06T00:00:00"/>
    <x v="4"/>
    <n v="1000"/>
    <s v="Labour Tea Weekly Payment"/>
  </r>
  <r>
    <d v="2025-10-06T00:00:00"/>
    <x v="10"/>
    <n v="3100"/>
    <s v="Pending weekly payment"/>
  </r>
  <r>
    <d v="2025-10-06T00:00:00"/>
    <x v="0"/>
    <n v="530"/>
    <s v="Bond 5 nos Krumal Thagudu "/>
  </r>
  <r>
    <d v="2025-10-07T00:00:00"/>
    <x v="9"/>
    <n v="300"/>
    <s v="Kanna Extra lab"/>
  </r>
  <r>
    <d v="2025-10-07T00:00:00"/>
    <x v="14"/>
    <n v="60000"/>
    <s v="Tamil Karthi Salary"/>
  </r>
  <r>
    <d v="2025-10-08T00:00:00"/>
    <x v="10"/>
    <n v="5000"/>
    <s v="Rajkumar adv Cash"/>
  </r>
  <r>
    <d v="2025-10-10T00:00:00"/>
    <x v="4"/>
    <n v="90"/>
    <s v=" Tamil Karthi"/>
  </r>
  <r>
    <d v="2025-10-10T00:00:00"/>
    <x v="1"/>
    <n v="600"/>
    <s v="Gsquare to VSN Lab Auto Fitter basement work"/>
  </r>
  <r>
    <d v="2025-10-11T00:00:00"/>
    <x v="10"/>
    <n v="28250"/>
    <s v="Mason Labour Rajkumar"/>
  </r>
  <r>
    <d v="2025-10-11T00:00:00"/>
    <x v="9"/>
    <n v="6000"/>
    <s v="Fitter Labour"/>
  </r>
  <r>
    <d v="2025-10-11T00:00:00"/>
    <x v="3"/>
    <n v="29500"/>
    <s v="Cement Payment Palani Murugan"/>
  </r>
  <r>
    <d v="2025-10-14T00:00:00"/>
    <x v="11"/>
    <n v="90"/>
    <s v="Column Shoe 3 nos"/>
  </r>
  <r>
    <d v="2025-10-14T00:00:00"/>
    <x v="11"/>
    <n v="5000"/>
    <s v="Side Sheet Amount Grade beam"/>
  </r>
  <r>
    <d v="2025-10-14T00:00:00"/>
    <x v="15"/>
    <n v="700"/>
    <s v="RO Water"/>
  </r>
  <r>
    <d v="2025-10-14T00:00:00"/>
    <x v="16"/>
    <n v="1400"/>
    <s v="Consolidation Water"/>
  </r>
  <r>
    <d v="2025-10-15T00:00:00"/>
    <x v="4"/>
    <n v="500"/>
    <s v="Lab Tea Weekly Payment"/>
  </r>
  <r>
    <d v="2025-10-15T00:00:00"/>
    <x v="5"/>
    <n v="5000"/>
    <s v="Basement Filling"/>
  </r>
  <r>
    <d v="2025-10-15T00:00:00"/>
    <x v="0"/>
    <n v="250"/>
    <s v="Waste oil Column box"/>
  </r>
  <r>
    <d v="2025-10-16T00:00:00"/>
    <x v="1"/>
    <n v="490"/>
    <s v="Labour Auto VSN to Gsquare Fitter"/>
  </r>
  <r>
    <d v="2025-10-16T00:00:00"/>
    <x v="9"/>
    <n v="9900"/>
    <s v="Krishnan Salary"/>
  </r>
  <r>
    <d v="2025-10-17T00:00:00"/>
    <x v="10"/>
    <n v="37800"/>
    <s v="Raj lab payment"/>
  </r>
  <r>
    <d v="2025-10-17T00:00:00"/>
    <x v="9"/>
    <n v="8800"/>
    <s v="Ramesh Fitter Labour"/>
  </r>
  <r>
    <d v="2025-10-17T00:00:00"/>
    <x v="3"/>
    <n v="100000"/>
    <s v="RSK Part Payment"/>
  </r>
  <r>
    <d v="2025-10-17T00:00:00"/>
    <x v="13"/>
    <n v="15000"/>
    <s v="Basement PCC Column Concrete"/>
  </r>
  <r>
    <d v="2025-10-17T00:00:00"/>
    <x v="9"/>
    <n v="300"/>
    <s v="Kannan Honest Extra"/>
  </r>
  <r>
    <d v="2025-10-17T00:00:00"/>
    <x v="4"/>
    <n v="110"/>
    <s v="Tamil Karthi"/>
  </r>
  <r>
    <d v="2025-10-20T00:00:00"/>
    <x v="0"/>
    <n v="500"/>
    <s v="Mason Diwali Amt"/>
  </r>
  <r>
    <d v="2025-10-23T00:00:00"/>
    <x v="10"/>
    <n v="500"/>
    <s v="Saravanan Advance"/>
  </r>
  <r>
    <d v="2025-10-25T00:00:00"/>
    <x v="10"/>
    <n v="14700"/>
    <s v="Weekly lab payment rajkumar"/>
  </r>
  <r>
    <d v="2025-10-25T00:00:00"/>
    <x v="4"/>
    <n v="1400"/>
    <s v="Lab weekly tea"/>
  </r>
  <r>
    <d v="2025-10-25T00:00:00"/>
    <x v="3"/>
    <n v="136000"/>
    <s v="Brick payment"/>
  </r>
  <r>
    <d v="2025-10-25T00:00:00"/>
    <x v="3"/>
    <n v="17700"/>
    <s v="Cement Payment"/>
  </r>
  <r>
    <d v="2025-10-25T00:00:00"/>
    <x v="3"/>
    <n v="8000"/>
    <s v="Steel Payment"/>
  </r>
  <r>
    <d v="2025-10-28T00:00:00"/>
    <x v="12"/>
    <n v="2000"/>
    <s v="Car Diesel"/>
  </r>
  <r>
    <d v="2025-10-29T00:00:00"/>
    <x v="10"/>
    <n v="3000"/>
    <s v="Rajkumar adv Cash"/>
  </r>
  <r>
    <d v="2025-10-29T00:00:00"/>
    <x v="1"/>
    <n v="600"/>
    <s v="Fittr auto"/>
  </r>
  <r>
    <d v="2025-10-30T00:00:00"/>
    <x v="6"/>
    <n v="600"/>
    <s v="Nails for Lindel GF"/>
  </r>
  <r>
    <d v="2025-10-31T00:00:00"/>
    <x v="12"/>
    <n v="2000"/>
    <s v="Car Diesel"/>
  </r>
  <r>
    <d v="2025-10-31T00:00:00"/>
    <x v="4"/>
    <n v="100"/>
    <s v="Tamil Karthi"/>
  </r>
  <r>
    <d v="2025-10-31T00:00:00"/>
    <x v="0"/>
    <n v="250"/>
    <s v="Sara Kairu Karandi"/>
  </r>
  <r>
    <d v="2025-10-31T00:00:00"/>
    <x v="15"/>
    <n v="700"/>
    <s v="Drinking Water"/>
  </r>
  <r>
    <d v="2025-10-31T00:00:00"/>
    <x v="7"/>
    <n v="1300"/>
    <s v="Palagi from Happy Town"/>
  </r>
  <r>
    <d v="2025-11-01T00:00:00"/>
    <x v="0"/>
    <n v="3000"/>
    <s v="Structural Part Payment Design"/>
  </r>
  <r>
    <d v="2025-11-01T00:00:00"/>
    <x v="6"/>
    <n v="5000"/>
    <s v="7' puttu maram"/>
  </r>
  <r>
    <d v="2025-11-01T00:00:00"/>
    <x v="10"/>
    <n v="26200"/>
    <s v="Rajkumar lab payment"/>
  </r>
  <r>
    <d v="2025-11-01T00:00:00"/>
    <x v="9"/>
    <n v="6000"/>
    <s v="Ramesh Fitter Labour"/>
  </r>
  <r>
    <d v="2025-11-03T00:00:00"/>
    <x v="4"/>
    <n v="800"/>
    <s v="Weekly lab tea"/>
  </r>
  <r>
    <d v="2025-11-03T00:00:00"/>
    <x v="4"/>
    <n v="80"/>
    <s v="Tamil Karthi Tea"/>
  </r>
  <r>
    <d v="2025-11-03T00:00:00"/>
    <x v="10"/>
    <n v="100"/>
    <s v="Rajkumar Bal tea amount"/>
  </r>
  <r>
    <d v="2025-11-04T00:00:00"/>
    <x v="14"/>
    <n v="60000"/>
    <s v="Tamil Karthi"/>
  </r>
  <r>
    <d v="2025-11-05T00:00:00"/>
    <x v="10"/>
    <n v="4000"/>
    <s v="Mason adv lab"/>
  </r>
  <r>
    <d v="2025-11-05T00:00:00"/>
    <x v="4"/>
    <n v="80"/>
    <s v="Tamil Karthi"/>
  </r>
  <r>
    <d v="2025-11-06T00:00:00"/>
    <x v="4"/>
    <n v="120"/>
    <s v="Tamil Karthi"/>
  </r>
  <r>
    <d v="2025-11-08T00:00:00"/>
    <x v="10"/>
    <n v="25100"/>
    <s v="Rajkumar lab payment"/>
  </r>
  <r>
    <d v="2025-11-08T00:00:00"/>
    <x v="9"/>
    <n v="10000"/>
    <s v="Ramesh Fitter Labour"/>
  </r>
  <r>
    <d v="2025-11-10T00:00:00"/>
    <x v="4"/>
    <n v="800"/>
    <s v="Weekly lab Tea"/>
  </r>
  <r>
    <d v="2025-11-10T00:00:00"/>
    <x v="4"/>
    <n v="80"/>
    <s v="Tamil Karthi"/>
  </r>
  <r>
    <d v="2025-11-11T00:00:00"/>
    <x v="7"/>
    <n v="2000"/>
    <s v="Centring Palagai Maram Shifting"/>
  </r>
  <r>
    <d v="2025-11-11T00:00:00"/>
    <x v="6"/>
    <n v="1350"/>
    <s v="Nails and Blade"/>
  </r>
  <r>
    <d v="2025-11-11T00:00:00"/>
    <x v="9"/>
    <n v="1000"/>
    <s v="Fitter advance"/>
  </r>
  <r>
    <d v="2025-11-12T00:00:00"/>
    <x v="9"/>
    <n v="7000"/>
    <s v="Fitter Advance"/>
  </r>
  <r>
    <d v="2025-11-12T00:00:00"/>
    <x v="12"/>
    <n v="1000"/>
    <s v="Car Diesel"/>
  </r>
  <r>
    <d v="2025-11-15T00:00:00"/>
    <x v="9"/>
    <n v="10750"/>
    <s v="Weekly lab payment"/>
  </r>
  <r>
    <d v="2025-11-15T00:00:00"/>
    <x v="10"/>
    <n v="5400"/>
    <s v="Rajkumar labour payment"/>
  </r>
  <r>
    <d v="2025-11-15T00:00:00"/>
    <x v="3"/>
    <n v="16370"/>
    <s v="Ak steels part  payment"/>
  </r>
  <r>
    <d v="2025-11-16T00:00:00"/>
    <x v="1"/>
    <n v="290"/>
    <s v="Fitter to Npalayam"/>
  </r>
  <r>
    <d v="2025-11-17T00:00:00"/>
    <x v="15"/>
    <n v="700"/>
    <s v="Drinking Water"/>
  </r>
  <r>
    <d v="2025-11-17T00:00:00"/>
    <x v="6"/>
    <n v="1150"/>
    <s v="Nails blade mercury level for GF roof"/>
  </r>
  <r>
    <d v="2025-11-17T00:00:00"/>
    <x v="9"/>
    <n v="275"/>
    <s v="Honest extra"/>
  </r>
  <r>
    <d v="2025-11-17T00:00:00"/>
    <x v="4"/>
    <n v="350"/>
    <s v="Lab weekly tea"/>
  </r>
  <r>
    <d v="2025-11-17T00:00:00"/>
    <x v="1"/>
    <n v="270"/>
    <s v="Rapido frm Npalayam Fitter"/>
  </r>
  <r>
    <d v="2025-11-19T00:00:00"/>
    <x v="11"/>
    <n v="20000"/>
    <s v="GF Roof Sheet Rentals"/>
  </r>
  <r>
    <d v="2025-11-19T00:00:00"/>
    <x v="9"/>
    <n v="7500"/>
    <s v="Fitter Advance"/>
  </r>
  <r>
    <d v="2025-11-21T00:00:00"/>
    <x v="6"/>
    <n v="280"/>
    <s v="Blade 2 nos"/>
  </r>
  <r>
    <d v="2025-11-22T00:00:00"/>
    <x v="9"/>
    <n v="38650"/>
    <s v="Ramesh Fitter Labour Roof Shuttering"/>
  </r>
  <r>
    <d v="2025-11-22T00:00:00"/>
    <x v="9"/>
    <n v="1300"/>
    <s v="Kannan and Honest Extra amount"/>
  </r>
  <r>
    <d v="2025-11-22T00:00:00"/>
    <x v="3"/>
    <n v="50000"/>
    <s v="Ak steels part  payment roof"/>
  </r>
  <r>
    <d v="2025-11-22T00:00:00"/>
    <x v="3"/>
    <n v="50000"/>
    <s v="RSK Part Payment"/>
  </r>
  <r>
    <d v="2025-11-22T00:00:00"/>
    <x v="9"/>
    <n v="200"/>
    <s v="Ramesh bal amt Sal"/>
  </r>
  <r>
    <d v="2025-11-23T00:00:00"/>
    <x v="1"/>
    <n v="800"/>
    <s v="VSN to Happy town fitter"/>
  </r>
  <r>
    <d v="2025-11-24T00:00:00"/>
    <x v="4"/>
    <n v="900"/>
    <s v="Weekly lab tea"/>
  </r>
  <r>
    <d v="2025-11-25T00:00:00"/>
    <x v="7"/>
    <n v="1400"/>
    <s v="Porter palagai from VSN"/>
  </r>
  <r>
    <d v="2025-11-26T00:00:00"/>
    <x v="0"/>
    <n v="560"/>
    <s v="Concrete Pooja Expense"/>
  </r>
  <r>
    <d v="2025-11-26T00:00:00"/>
    <x v="4"/>
    <n v="95"/>
    <s v="Tamil Karthi"/>
  </r>
  <r>
    <d v="2025-11-29T00:00:00"/>
    <x v="9"/>
    <n v="7950"/>
    <s v="Fitter Labour Ramesh"/>
  </r>
  <r>
    <d v="2025-11-29T00:00:00"/>
    <x v="10"/>
    <n v="9900"/>
    <s v="Rajkumar labour payment"/>
  </r>
  <r>
    <d v="2025-11-29T00:00:00"/>
    <x v="17"/>
    <n v="4000"/>
    <s v="Roof pipe labour"/>
  </r>
  <r>
    <d v="2025-11-29T00:00:00"/>
    <x v="13"/>
    <n v="15000"/>
    <s v="Concrete roof payment"/>
  </r>
  <r>
    <d v="2025-11-29T00:00:00"/>
    <x v="3"/>
    <n v="50000"/>
    <s v="RSK Part Payment"/>
  </r>
  <r>
    <d v="2025-11-29T00:00:00"/>
    <x v="3"/>
    <n v="50000"/>
    <s v="AK Steels part payment"/>
  </r>
  <r>
    <d v="2025-11-29T00:00:00"/>
    <x v="3"/>
    <n v="50000"/>
    <s v="Palani muugan payment "/>
  </r>
  <r>
    <d v="2025-11-29T00:00:00"/>
    <x v="1"/>
    <n v="200"/>
    <s v="Lab petrol"/>
  </r>
  <r>
    <d v="2025-11-29T00:00:00"/>
    <x v="12"/>
    <n v="2000"/>
    <s v="Car Diesel"/>
  </r>
  <r>
    <d v="2025-11-29T00:00:00"/>
    <x v="9"/>
    <n v="150"/>
    <s v="Kannan Extra"/>
  </r>
  <r>
    <d v="2025-11-29T00:00:00"/>
    <x v="9"/>
    <n v="800"/>
    <s v="Last week balance xtra amount"/>
  </r>
  <r>
    <d v="2025-12-02T00:00:00"/>
    <x v="4"/>
    <n v="650"/>
    <s v="Labour Weekly Tea"/>
  </r>
  <r>
    <d v="2025-12-04T00:00:00"/>
    <x v="14"/>
    <n v="60000"/>
    <s v="Tamil Karthi"/>
  </r>
  <r>
    <d v="2025-12-10T00:00:00"/>
    <x v="10"/>
    <n v="2000"/>
    <s v="Rajkumar Advance"/>
  </r>
  <r>
    <d v="2025-12-10T00:00:00"/>
    <x v="7"/>
    <n v="1050"/>
    <s v="Lift Machine shifting Porter"/>
  </r>
  <r>
    <d v="2025-12-11T00:00:00"/>
    <x v="11"/>
    <n v="120"/>
    <s v="Column Shoe Adv "/>
  </r>
  <r>
    <d v="2025-12-12T00:00:00"/>
    <x v="15"/>
    <n v="700"/>
    <s v="Labour Drinking Water"/>
  </r>
  <r>
    <d v="2025-12-12T00:00:00"/>
    <x v="6"/>
    <n v="280"/>
    <s v="Rasamattam Marker"/>
  </r>
  <r>
    <d v="2025-12-12T00:00:00"/>
    <x v="7"/>
    <n v="390"/>
    <s v="Porter sheet shifting from podanur"/>
  </r>
  <r>
    <d v="2025-12-13T00:00:00"/>
    <x v="10"/>
    <n v="6600"/>
    <s v="Rajkumar lab paytment"/>
  </r>
  <r>
    <d v="2025-12-13T00:00:00"/>
    <x v="0"/>
    <n v="500"/>
    <s v="Selvam switch box repair"/>
  </r>
  <r>
    <d v="2025-12-13T00:00:00"/>
    <x v="9"/>
    <n v="16800"/>
    <s v="Ramesh fitter labour"/>
  </r>
  <r>
    <d v="2025-12-13T00:00:00"/>
    <x v="9"/>
    <n v="400"/>
    <s v="Kannan Xtra"/>
  </r>
  <r>
    <d v="2025-12-13T00:00:00"/>
    <x v="3"/>
    <n v="26000"/>
    <s v="AK Steels part payment"/>
  </r>
  <r>
    <d v="2025-12-13T00:00:00"/>
    <x v="0"/>
    <n v="100"/>
    <s v="Rajkumar Materials"/>
  </r>
  <r>
    <d v="2025-12-16T00:00:00"/>
    <x v="4"/>
    <n v="500"/>
    <s v="Weekly lab Tea"/>
  </r>
  <r>
    <d v="2025-12-17T00:00:00"/>
    <x v="10"/>
    <n v="5000"/>
    <s v="Mason Adv Rajkumar"/>
  </r>
  <r>
    <d v="2025-12-20T00:00:00"/>
    <x v="10"/>
    <n v="32200"/>
    <s v="Rajkumar lab payment"/>
  </r>
  <r>
    <d v="2025-12-20T00:00:00"/>
    <x v="9"/>
    <n v="6600"/>
    <s v="Ramesh -roof deshuttering"/>
  </r>
  <r>
    <d v="2025-12-20T00:00:00"/>
    <x v="9"/>
    <n v="300"/>
    <s v="kannan xtra"/>
  </r>
  <r>
    <d v="2025-12-20T00:00:00"/>
    <x v="17"/>
    <n v="2000"/>
    <s v="Marking GF"/>
  </r>
  <r>
    <d v="2025-12-20T00:00:00"/>
    <x v="3"/>
    <n v="25000"/>
    <s v="AK Steels payment"/>
  </r>
  <r>
    <d v="2025-12-20T00:00:00"/>
    <x v="3"/>
    <n v="6050"/>
    <s v="Ramdev Roof pipe pending amount"/>
  </r>
  <r>
    <d v="2025-12-22T00:00:00"/>
    <x v="4"/>
    <n v="800"/>
    <s v="Labour Tea Weekly Payment"/>
  </r>
  <r>
    <d v="2025-12-22T00:00:00"/>
    <x v="4"/>
    <n v="80"/>
    <s v="Tamil Karthi"/>
  </r>
  <r>
    <d v="2025-12-24T00:00:00"/>
    <x v="3"/>
    <n v="60000"/>
    <s v="5k nos Pari Brick 12 rs"/>
  </r>
  <r>
    <d v="2025-12-24T00:00:00"/>
    <x v="10"/>
    <n v="3000"/>
    <s v="Rajkumar lab adv"/>
  </r>
  <r>
    <d v="2025-12-26T00:00:00"/>
    <x v="4"/>
    <n v="90"/>
    <s v="Tamil Karthi "/>
  </r>
  <r>
    <d v="2025-12-26T00:00:00"/>
    <x v="7"/>
    <n v="1000"/>
    <s v="Porter palagai from Gsqr"/>
  </r>
  <r>
    <d v="2025-12-27T00:00:00"/>
    <x v="15"/>
    <n v="700"/>
    <s v="Drinking Water"/>
  </r>
  <r>
    <d v="2025-12-27T00:00:00"/>
    <x v="17"/>
    <n v="5000"/>
    <s v="Electrical labour Gaudi work GF"/>
  </r>
  <r>
    <d v="2025-12-27T00:00:00"/>
    <x v="10"/>
    <n v="46000"/>
    <s v="Rajkumar mason lab"/>
  </r>
  <r>
    <d v="2025-12-27T00:00:00"/>
    <x v="9"/>
    <n v="100"/>
    <s v="Kanna Extra lab"/>
  </r>
  <r>
    <d v="2025-12-27T00:00:00"/>
    <x v="9"/>
    <n v="4200"/>
    <s v="Fitter Lab Payment Ramesh"/>
  </r>
  <r>
    <d v="2025-12-27T00:00:00"/>
    <x v="2"/>
    <n v="400"/>
    <s v="Seemaru Sponge Greece"/>
  </r>
  <r>
    <d v="2025-12-29T00:00:00"/>
    <x v="3"/>
    <n v="15000"/>
    <s v="Cement Part Payment"/>
  </r>
  <r>
    <d v="2025-12-29T00:00:00"/>
    <x v="12"/>
    <n v="2000"/>
    <s v="Car Diesel"/>
  </r>
  <r>
    <d v="2025-12-29T00:00:00"/>
    <x v="4"/>
    <n v="1000"/>
    <s v="Labour Tea Weekly Payment"/>
  </r>
  <r>
    <d v="2025-12-30T00:00:00"/>
    <x v="18"/>
    <n v="20000"/>
    <s v="Step Advance"/>
  </r>
  <r>
    <d v="2026-01-01T00:00:00"/>
    <x v="4"/>
    <n v="130"/>
    <s v="Tamil Karthi"/>
  </r>
  <r>
    <d v="2026-01-01T00:00:00"/>
    <x v="12"/>
    <n v="2000"/>
    <s v="Car Diesel"/>
  </r>
  <r>
    <d v="2026-01-01T00:00:00"/>
    <x v="3"/>
    <n v="50000"/>
    <s v="RSK Part Payment"/>
  </r>
  <r>
    <d v="2026-01-03T00:00:00"/>
    <x v="10"/>
    <n v="34800"/>
    <s v="Rajkumar lab payment"/>
  </r>
  <r>
    <d v="2026-01-03T00:00:00"/>
    <x v="9"/>
    <n v="12600"/>
    <s v="Ramesh fitter weekly payment"/>
  </r>
  <r>
    <d v="2026-01-03T00:00:00"/>
    <x v="9"/>
    <n v="300"/>
    <s v="Kannan Xtra"/>
  </r>
  <r>
    <d v="2026-01-03T00:00:00"/>
    <x v="3"/>
    <n v="17500"/>
    <s v="SK Roof pipe"/>
  </r>
  <r>
    <d v="2026-01-03T00:00:00"/>
    <x v="0"/>
    <n v="200"/>
    <s v="Rajkumar Wheel bar Welding"/>
  </r>
  <r>
    <d v="2026-01-05T00:00:00"/>
    <x v="14"/>
    <n v="100000"/>
    <s v="Tamil Karthi"/>
  </r>
  <r>
    <d v="2026-01-07T00:00:00"/>
    <x v="4"/>
    <n v="500"/>
    <s v="Lab Tea Weekly Payment"/>
  </r>
  <r>
    <d v="2026-01-07T00:00:00"/>
    <x v="10"/>
    <n v="2000"/>
    <s v="Advance"/>
  </r>
  <r>
    <d v="2026-01-07T00:00:00"/>
    <x v="4"/>
    <n v="105"/>
    <s v="Tamil Karthi"/>
  </r>
  <r>
    <d v="2026-01-08T00:00:00"/>
    <x v="4"/>
    <n v="70"/>
    <s v="Tamil Karthi"/>
  </r>
  <r>
    <d v="2026-01-08T00:00:00"/>
    <x v="7"/>
    <n v="1500"/>
    <s v="Maram palagai from Gsqr FF roof"/>
  </r>
  <r>
    <d v="2026-01-09T00:00:00"/>
    <x v="19"/>
    <n v="5000"/>
    <s v="Structural Pending Fees"/>
  </r>
  <r>
    <d v="2026-01-09T00:00:00"/>
    <x v="6"/>
    <n v="880"/>
    <s v="Nails Blade "/>
  </r>
  <r>
    <d v="2026-01-10T00:00:00"/>
    <x v="10"/>
    <n v="34000"/>
    <s v="Rajkumar mason lab"/>
  </r>
  <r>
    <d v="2026-01-10T00:00:00"/>
    <x v="9"/>
    <n v="8300"/>
    <s v="Ramesh fitter lab"/>
  </r>
  <r>
    <d v="2026-01-10T00:00:00"/>
    <x v="9"/>
    <n v="150"/>
    <s v="Kannan Extra"/>
  </r>
  <r>
    <d v="2026-01-10T00:00:00"/>
    <x v="18"/>
    <n v="15000"/>
    <s v="GF Staircase Party Amt"/>
  </r>
  <r>
    <d v="2026-01-10T00:00:00"/>
    <x v="15"/>
    <n v="700"/>
    <s v="Drinking Water"/>
  </r>
  <r>
    <d v="2026-01-10T00:00:00"/>
    <x v="3"/>
    <n v="16200"/>
    <s v="Cement Pending Amount"/>
  </r>
  <r>
    <d v="2026-01-10T00:00:00"/>
    <x v="4"/>
    <n v="750"/>
    <s v="Lab Tea Weekly Payment"/>
  </r>
  <r>
    <d v="2026-01-12T00:00:00"/>
    <x v="7"/>
    <n v="1100"/>
    <s v="Porter Maram"/>
  </r>
  <r>
    <d v="2026-01-12T00:00:00"/>
    <x v="6"/>
    <n v="960"/>
    <s v="Nails roof bal 40 with master"/>
  </r>
  <r>
    <d v="2026-01-12T00:00:00"/>
    <x v="4"/>
    <n v="80"/>
    <s v="Tamil Karthi"/>
  </r>
  <r>
    <d v="2026-01-13T00:00:00"/>
    <x v="4"/>
    <n v="130"/>
    <s v="Tea lunch"/>
  </r>
  <r>
    <d v="2026-01-13T00:00:00"/>
    <x v="9"/>
    <n v="3000"/>
    <s v="Fitter Advance"/>
  </r>
  <r>
    <d v="2025-01-14T00:00:00"/>
    <x v="9"/>
    <n v="1000"/>
    <s v="Ramesh adv"/>
  </r>
  <r>
    <d v="2026-01-14T00:00:00"/>
    <x v="9"/>
    <n v="500"/>
    <s v="Kannan pongal"/>
  </r>
  <r>
    <d v="2026-01-15T00:00:00"/>
    <x v="9"/>
    <n v="1000"/>
    <s v="Suresh adv"/>
  </r>
  <r>
    <d v="2026-01-20T00:00:00"/>
    <x v="9"/>
    <n v="13900"/>
    <s v="Ramesh pending weekly payment"/>
  </r>
  <r>
    <d v="2026-01-20T00:00:00"/>
    <x v="1"/>
    <n v="100"/>
    <s v="Petrol for curing"/>
  </r>
  <r>
    <d v="2026-01-23T00:00:00"/>
    <x v="2"/>
    <n v="1000"/>
    <s v="Maatakool for plastering"/>
  </r>
  <r>
    <d v="2026-01-24T00:00:00"/>
    <x v="12"/>
    <n v="2000"/>
    <s v="Car Diesel"/>
  </r>
  <r>
    <d v="2026-01-24T00:00:00"/>
    <x v="10"/>
    <n v="10800"/>
    <s v="Rajkumar lab payment"/>
  </r>
  <r>
    <d v="2026-01-24T00:00:00"/>
    <x v="10"/>
    <n v="8700"/>
    <s v="Last week pending labour Rajkumar"/>
  </r>
  <r>
    <d v="2026-01-24T00:00:00"/>
    <x v="9"/>
    <n v="12400"/>
    <s v="Fitter Labour"/>
  </r>
  <r>
    <d v="2026-01-24T00:00:00"/>
    <x v="18"/>
    <n v="10000"/>
    <s v="Steps Bal amount"/>
  </r>
  <r>
    <d v="2026-01-24T00:00:00"/>
    <x v="11"/>
    <n v="10000"/>
    <s v="AMT Roof Sheet Advance"/>
  </r>
  <r>
    <d v="2026-01-24T00:00:00"/>
    <x v="2"/>
    <n v="500"/>
    <s v="Mattakool balance amt"/>
  </r>
  <r>
    <d v="2026-01-24T00:00:00"/>
    <x v="4"/>
    <n v="1000"/>
    <s v="Lab Tea Weekly Payment"/>
  </r>
  <r>
    <d v="2026-01-25T00:00:00"/>
    <x v="4"/>
    <n v="100"/>
    <s v="Tamil Karthi"/>
  </r>
  <r>
    <d v="2026-01-25T00:00:00"/>
    <x v="0"/>
    <n v="130"/>
    <s v="Ramesh Balance amt "/>
  </r>
  <r>
    <d v="2026-01-25T00:00:00"/>
    <x v="0"/>
    <n v="100"/>
    <s v="Petrol for curing"/>
  </r>
  <r>
    <d v="2026-01-25T00:00:00"/>
    <x v="6"/>
    <n v="150"/>
    <s v="Blade "/>
  </r>
  <r>
    <d v="2026-01-28T00:00:00"/>
    <x v="9"/>
    <n v="2000"/>
    <s v="Fitter Advance"/>
  </r>
  <r>
    <d v="2026-01-28T00:00:00"/>
    <x v="10"/>
    <n v="2000"/>
    <s v="Mason Advance Rajkumar"/>
  </r>
  <r>
    <d v="2026-01-28T00:00:00"/>
    <x v="12"/>
    <n v="2000"/>
    <s v="Car Diesel"/>
  </r>
  <r>
    <d v="2026-01-29T00:00:00"/>
    <x v="4"/>
    <n v="30"/>
    <s v="Tamil Karthi"/>
  </r>
  <r>
    <d v="2026-01-30T00:00:00"/>
    <x v="4"/>
    <n v="50"/>
    <s v="Tamil Karthi"/>
  </r>
  <r>
    <d v="2026-01-31T00:00:00"/>
    <x v="10"/>
    <n v="46500"/>
    <s v="Rajkumar lab payment"/>
  </r>
  <r>
    <d v="2026-01-31T00:00:00"/>
    <x v="9"/>
    <n v="21150"/>
    <s v="Fitter Lab Payment Ramesh"/>
  </r>
  <r>
    <d v="2026-01-31T00:00:00"/>
    <x v="17"/>
    <n v="5000"/>
    <s v="FF Roof Concrete work"/>
  </r>
  <r>
    <d v="2026-01-31T00:00:00"/>
    <x v="3"/>
    <n v="25000"/>
    <s v="AK Steels part payment"/>
  </r>
  <r>
    <d v="2026-01-31T00:00:00"/>
    <x v="3"/>
    <n v="25000"/>
    <s v="Cement Part Payment NV Associates"/>
  </r>
  <r>
    <d v="2026-01-31T00:00:00"/>
    <x v="13"/>
    <n v="16000"/>
    <s v="FF Roof Concrete work"/>
  </r>
  <r>
    <d v="2026-02-02T00:00:00"/>
    <x v="12"/>
    <n v="2000"/>
    <s v="Car Diesel"/>
  </r>
  <r>
    <d v="2026-02-03T00:00:00"/>
    <x v="4"/>
    <n v="1500"/>
    <s v="Lab Tea Weekly Payment"/>
  </r>
  <r>
    <d v="2026-02-03T00:00:00"/>
    <x v="4"/>
    <n v="80"/>
    <s v="Tamil karthi"/>
  </r>
  <r>
    <d v="2026-02-03T00:00:00"/>
    <x v="15"/>
    <n v="700"/>
    <s v="Drinking water"/>
  </r>
  <r>
    <d v="2026-02-04T00:00:00"/>
    <x v="14"/>
    <n v="125000"/>
    <s v="Tamil Karthi Offc Mam"/>
  </r>
  <r>
    <d v="2026-02-04T00:00:00"/>
    <x v="0"/>
    <n v="200"/>
    <s v="Wate oil"/>
  </r>
  <r>
    <d v="2026-02-07T00:00:00"/>
    <x v="10"/>
    <n v="2550"/>
    <s v="Mason Lab Payment"/>
  </r>
  <r>
    <d v="2026-02-07T00:00:00"/>
    <x v="3"/>
    <n v="105000"/>
    <s v="AK Steels part payment"/>
  </r>
  <r>
    <d v="2026-02-09T00:00:00"/>
    <x v="4"/>
    <n v="1100"/>
    <s v="Lab Tea Weekly Payment"/>
  </r>
  <r>
    <d v="2026-02-09T00:00:00"/>
    <x v="15"/>
    <n v="700"/>
    <s v="RO Water"/>
  </r>
  <r>
    <d v="2026-02-14T00:00:00"/>
    <x v="10"/>
    <n v="18050"/>
    <s v="Mason Lab Payment"/>
  </r>
  <r>
    <d v="2026-02-14T00:00:00"/>
    <x v="9"/>
    <n v="5750"/>
    <s v="Fitter Lab Payment Ramesh"/>
  </r>
  <r>
    <d v="2026-02-14T00:00:00"/>
    <x v="10"/>
    <n v="1200"/>
    <s v="Sudha FC  Payment"/>
  </r>
  <r>
    <d v="2026-02-14T00:00:00"/>
    <x v="3"/>
    <n v="10000"/>
    <s v="NV Associates payment"/>
  </r>
  <r>
    <d v="2026-02-19T00:00:00"/>
    <x v="20"/>
    <n v="128000"/>
    <s v="Teak wood purchase advance"/>
  </r>
  <r>
    <d v="2026-02-21T00:00:00"/>
    <x v="10"/>
    <n v="21750"/>
    <s v="Mason Lab Payment"/>
  </r>
  <r>
    <d v="2026-02-21T00:00:00"/>
    <x v="10"/>
    <n v="600"/>
    <s v="Sudha FC  Payment"/>
  </r>
  <r>
    <d v="2026-02-21T00:00:00"/>
    <x v="9"/>
    <n v="1000"/>
    <s v="Fitter Lab Payment Ramesh"/>
  </r>
  <r>
    <d v="2026-02-21T00:00:00"/>
    <x v="3"/>
    <n v="6250"/>
    <s v="Cement payment"/>
  </r>
  <r>
    <d v="2026-02-21T00:00:00"/>
    <x v="3"/>
    <n v="36000"/>
    <s v="3000 nos bricks"/>
  </r>
  <r>
    <d v="2026-02-23T00:00:00"/>
    <x v="20"/>
    <n v="10000"/>
    <s v="Balance amount Vinayaka timbers"/>
  </r>
  <r>
    <d v="2026-02-23T00:00:00"/>
    <x v="12"/>
    <n v="2000"/>
    <s v="Car Diesel"/>
  </r>
  <r>
    <d v="2026-02-24T00:00:00"/>
    <x v="4"/>
    <n v="300"/>
    <s v="Lab Tea Weekly Payment"/>
  </r>
  <r>
    <d v="2026-02-26T00:00:00"/>
    <x v="12"/>
    <n v="2000"/>
    <s v="Car Diesel"/>
  </r>
  <r>
    <d v="2026-02-27T00:00:00"/>
    <x v="15"/>
    <n v="700"/>
    <s v="Drinking Water"/>
  </r>
  <r>
    <d v="2026-02-28T00:00:00"/>
    <x v="17"/>
    <n v="4000"/>
    <s v="FF Gaudi work"/>
  </r>
  <r>
    <d v="2026-03-02T00:00:00"/>
    <x v="12"/>
    <n v="2000"/>
    <s v="Car Diesel"/>
  </r>
  <r>
    <d v="2026-03-04T00:00:00"/>
    <x v="14"/>
    <n v="23750"/>
    <s v="Offc Mam Salary"/>
  </r>
  <r>
    <d v="2026-03-05T00:00:00"/>
    <x v="12"/>
    <n v="2000"/>
    <s v="Car Diesel"/>
  </r>
  <r>
    <d v="2026-03-07T00:00:00"/>
    <x v="10"/>
    <n v="15650"/>
    <s v="Rajkumar Mason Lab"/>
  </r>
  <r>
    <d v="2026-03-07T00:00:00"/>
    <x v="17"/>
    <n v="2000"/>
    <s v="FF Pipe Work"/>
  </r>
  <r>
    <d v="2026-03-07T00:00:00"/>
    <x v="3"/>
    <n v="50000"/>
    <s v="RSK Part Payment"/>
  </r>
  <r>
    <d v="2026-03-07T00:00:00"/>
    <x v="12"/>
    <n v="2000"/>
    <s v="Car Diesel"/>
  </r>
  <r>
    <d v="2026-03-09T00:00:00"/>
    <x v="14"/>
    <n v="200000"/>
    <s v="Tamil Karthi Salary"/>
  </r>
  <r>
    <d v="2026-03-11T00:00:00"/>
    <x v="10"/>
    <n v="4000"/>
    <s v="Mason Adv"/>
  </r>
  <r>
    <d v="2026-03-12T00:00:00"/>
    <x v="15"/>
    <n v="700"/>
    <s v="Drinking Water"/>
  </r>
  <r>
    <d v="2026-03-14T00:00:00"/>
    <x v="10"/>
    <n v="21350"/>
    <s v="Mason Lab Payment"/>
  </r>
  <r>
    <d v="2026-03-15T00:00:00"/>
    <x v="7"/>
    <n v="800"/>
    <s v="Steel shifting from DSP site"/>
  </r>
  <r>
    <d v="2026-03-16T00:00:00"/>
    <x v="7"/>
    <n v="1270"/>
    <s v="Porter Maram from Gsquare"/>
  </r>
  <r>
    <d v="2026-03-18T00:00:00"/>
    <x v="6"/>
    <n v="780"/>
    <s v="Nails blade wood cutter"/>
  </r>
  <r>
    <d v="2026-03-18T00:00:00"/>
    <x v="4"/>
    <n v="250"/>
    <s v="Lab tea"/>
  </r>
  <r>
    <d v="2026-03-18T00:00:00"/>
    <x v="0"/>
    <n v="240"/>
    <s v="Material Purchase"/>
  </r>
  <r>
    <d v="2026-03-18T00:00:00"/>
    <x v="9"/>
    <n v="2000"/>
    <s v="Ramesh fitter adv"/>
  </r>
  <r>
    <d v="2026-03-19T00:00:00"/>
    <x v="12"/>
    <n v="2000"/>
    <s v="Car Diesel"/>
  </r>
  <r>
    <d v="2026-03-21T00:00:00"/>
    <x v="10"/>
    <n v="34250"/>
    <s v="Rajkumar lab adv"/>
  </r>
  <r>
    <d v="2026-03-21T00:00:00"/>
    <x v="9"/>
    <n v="8550"/>
    <s v="Ramesh fitter"/>
  </r>
  <r>
    <d v="2026-03-21T00:00:00"/>
    <x v="3"/>
    <n v="10750"/>
    <s v="Palani muugan payment "/>
  </r>
  <r>
    <d v="2026-03-21T00:00:00"/>
    <x v="3"/>
    <n v="13500"/>
    <s v="Chakra payment"/>
  </r>
  <r>
    <d v="2026-03-21T00:00:00"/>
    <x v="11"/>
    <n v="5000"/>
    <s v="AKM sheet Rental"/>
  </r>
  <r>
    <d v="2026-03-24T00:00:00"/>
    <x v="12"/>
    <n v="2000"/>
    <s v="Car Diesel"/>
  </r>
  <r>
    <d v="2026-03-25T00:00:00"/>
    <x v="4"/>
    <n v="500"/>
    <s v="Lab Tea Nithish"/>
  </r>
  <r>
    <d v="2026-03-25T00:00:00"/>
    <x v="6"/>
    <n v="150"/>
    <s v="Cutting Blade Nithish"/>
  </r>
  <r>
    <d v="2026-03-27T00:00:00"/>
    <x v="21"/>
    <n v="10000"/>
    <m/>
  </r>
  <r>
    <d v="2026-03-27T00:00:00"/>
    <x v="12"/>
    <n v="2000"/>
    <m/>
  </r>
  <r>
    <d v="2026-03-27T00:00:00"/>
    <x v="7"/>
    <n v="1450"/>
    <s v="Porter from Gsquare"/>
  </r>
  <r>
    <d v="2026-03-27T00:00:00"/>
    <x v="1"/>
    <n v="350"/>
    <s v="Happy twn to Gsqr auto - From Gsqr Sk site"/>
  </r>
  <r>
    <d v="2026-03-28T00:00:00"/>
    <x v="6"/>
    <n v="720"/>
    <s v="Nails for roof SF"/>
  </r>
  <r>
    <d v="2026-03-28T00:00:00"/>
    <x v="10"/>
    <n v="24550"/>
    <s v="Mason Lab Payment"/>
  </r>
  <r>
    <d v="2026-03-28T00:00:00"/>
    <x v="9"/>
    <n v="2100"/>
    <s v="Fitter Lab Payment Ramesh"/>
  </r>
  <r>
    <d v="2026-03-28T00:00:00"/>
    <x v="3"/>
    <n v="50000"/>
    <s v="AK Steels"/>
  </r>
  <r>
    <d v="2026-03-28T00:00:00"/>
    <x v="11"/>
    <n v="6000"/>
    <s v="AKM sheet Rental"/>
  </r>
  <r>
    <d v="2026-03-31T00:00:00"/>
    <x v="12"/>
    <n v="2000"/>
    <s v="Car Diesel"/>
  </r>
  <r>
    <d v="2026-04-01T00:00:00"/>
    <x v="2"/>
    <n v="230"/>
    <s v="Rajkumar suthi purchase - Nithish"/>
  </r>
  <r>
    <d v="2026-04-01T00:00:00"/>
    <x v="4"/>
    <n v="121"/>
    <s v="Lab Tea"/>
  </r>
  <r>
    <d v="2026-04-01T00:00:00"/>
    <x v="15"/>
    <n v="700"/>
    <s v="Drinking Water"/>
  </r>
  <r>
    <d v="2026-04-01T00:00:00"/>
    <x v="2"/>
    <n v="1000"/>
    <s v="Sara Kairu 2 bundles Broom stick"/>
  </r>
  <r>
    <d v="2026-04-01T00:00:00"/>
    <x v="6"/>
    <n v="150"/>
    <s v="Oil and Blade"/>
  </r>
  <r>
    <d v="2026-04-01T00:00:00"/>
    <x v="4"/>
    <n v="1112"/>
    <s v="Lab Tea"/>
  </r>
  <r>
    <d v="2026-04-01T00:00:00"/>
    <x v="1"/>
    <n v="200"/>
    <s v="Lab transport from DSP fitter"/>
  </r>
  <r>
    <d v="2026-04-02T00:00:00"/>
    <x v="9"/>
    <n v="3500"/>
    <s v="Ramesh Lab Adv"/>
  </r>
  <r>
    <d v="2026-04-03T00:00:00"/>
    <x v="0"/>
    <n v="980"/>
    <s v="Curing Oose"/>
  </r>
  <r>
    <d v="2026-04-03T00:00:00"/>
    <x v="2"/>
    <n v="610"/>
    <s v="Sponge and Chicken Mesh"/>
  </r>
  <r>
    <d v="2026-04-04T00:00:00"/>
    <x v="10"/>
    <n v="23000"/>
    <s v="Rajkumar Mason Lab"/>
  </r>
  <r>
    <d v="2026-04-04T00:00:00"/>
    <x v="9"/>
    <n v="10450"/>
    <s v="Fitter Lab Payment Ramesh"/>
  </r>
  <r>
    <d v="2026-04-04T00:00:00"/>
    <x v="17"/>
    <n v="500"/>
    <s v="Selvam Roof Pipe Work"/>
  </r>
  <r>
    <d v="2026-04-04T00:00:00"/>
    <x v="13"/>
    <n v="12000"/>
    <s v="Prakash Roof Concrete"/>
  </r>
  <r>
    <d v="2026-04-04T00:00:00"/>
    <x v="21"/>
    <n v="5000"/>
    <s v="Carpenter Lab"/>
  </r>
  <r>
    <d v="2026-04-05T00:00:00"/>
    <x v="0"/>
    <n v="860"/>
    <s v="Wood primer"/>
  </r>
  <r>
    <d v="2026-04-05T00:00:00"/>
    <x v="0"/>
    <n v="500"/>
    <s v="Nilavu poojai"/>
  </r>
  <r>
    <d v="2026-04-08T00:00:00"/>
    <x v="0"/>
    <n v="3000"/>
    <s v="Echanari brick shifting (Adjusted in Material Expense)"/>
  </r>
  <r>
    <d v="2026-04-08T00:00:00"/>
    <x v="10"/>
    <n v="2000"/>
    <s v="Prasanth Labour Adv"/>
  </r>
  <r>
    <d v="2026-04-09T00:00:00"/>
    <x v="15"/>
    <n v="700"/>
    <s v="Drinking water Nithish"/>
  </r>
  <r>
    <d v="2026-04-09T00:00:00"/>
    <x v="0"/>
    <n v="500"/>
    <s v="Clamp n nails - Nithish"/>
  </r>
  <r>
    <d v="2026-04-09T00:00:00"/>
    <x v="0"/>
    <n v="65"/>
    <s v="Machine Key hand machine - Nithish"/>
  </r>
  <r>
    <d v="2026-04-09T00:00:00"/>
    <x v="1"/>
    <n v="100"/>
    <s v="Azhagiri - Nithish"/>
  </r>
  <r>
    <d v="2026-04-09T00:00:00"/>
    <x v="0"/>
    <n v="90"/>
    <s v="Lift machine greece n spanner - Nithish"/>
  </r>
  <r>
    <d v="2026-04-09T00:00:00"/>
    <x v="0"/>
    <n v="80"/>
    <s v="Lab Tea Print out"/>
  </r>
  <r>
    <d v="2026-04-11T00:00:00"/>
    <x v="10"/>
    <n v="64250"/>
    <s v="Mason Lab Payment"/>
  </r>
  <r>
    <d v="2026-04-11T00:00:00"/>
    <x v="9"/>
    <n v="2200"/>
    <s v="Fitter Lab Payment Ramesh"/>
  </r>
  <r>
    <d v="2026-04-11T00:00:00"/>
    <x v="21"/>
    <n v="10000"/>
    <s v="Lab Adv"/>
  </r>
  <r>
    <d v="2026-04-13T00:00:00"/>
    <x v="3"/>
    <n v="100000"/>
    <s v="RSK Part Payment"/>
  </r>
  <r>
    <d v="2026-04-13T00:00:00"/>
    <x v="4"/>
    <n v="1035"/>
    <s v="Lab tea"/>
  </r>
  <r>
    <d v="2026-04-16T00:00:00"/>
    <x v="3"/>
    <n v="20000"/>
    <s v="Cement payment"/>
  </r>
  <r>
    <d v="2026-04-17T00:00:00"/>
    <x v="19"/>
    <n v="2500"/>
    <s v="Elevation design adv"/>
  </r>
  <r>
    <d v="2026-04-17T00:00:00"/>
    <x v="2"/>
    <n v="480"/>
    <s v="Fibre Mesh Nithish"/>
  </r>
  <r>
    <d v="2026-04-17T00:00:00"/>
    <x v="0"/>
    <n v="150"/>
    <s v="Clamp Nithish"/>
  </r>
  <r>
    <d v="2026-04-17T00:00:00"/>
    <x v="15"/>
    <n v="700"/>
    <s v="Drinking Water Nithish"/>
  </r>
  <r>
    <d v="2026-04-17T00:00:00"/>
    <x v="4"/>
    <n v="1323"/>
    <s v="Lab Tea"/>
  </r>
  <r>
    <d v="2026-04-17T00:00:00"/>
    <x v="0"/>
    <n v="410"/>
    <s v="Fibre Mesh and Cutting Blade"/>
  </r>
  <r>
    <d v="2026-04-18T00:00:00"/>
    <x v="10"/>
    <n v="70450"/>
    <s v="Rajkumar Lab payment"/>
  </r>
  <r>
    <d v="2026-04-18T00:00:00"/>
    <x v="9"/>
    <n v="3300"/>
    <s v="Ramesh Fitter Lab"/>
  </r>
  <r>
    <d v="2026-04-18T00:00:00"/>
    <x v="9"/>
    <n v="100"/>
    <s v="Kannan Xtra"/>
  </r>
  <r>
    <d v="2026-04-18T00:00:00"/>
    <x v="17"/>
    <n v="4000"/>
    <s v="Gaudi work"/>
  </r>
  <r>
    <d v="2026-04-18T00:00:00"/>
    <x v="22"/>
    <n v="16000"/>
    <s v="Muthu Compund Work"/>
  </r>
  <r>
    <d v="2026-04-18T00:00:00"/>
    <x v="18"/>
    <n v="61000"/>
    <s v="Vishnu Window Grill"/>
  </r>
  <r>
    <d v="2026-04-22T00:00:00"/>
    <x v="10"/>
    <n v="10000"/>
    <s v="Mason Lab Advance"/>
  </r>
  <r>
    <d v="2026-04-24T00:00:00"/>
    <x v="4"/>
    <n v="1305"/>
    <s v="Lab Tea"/>
  </r>
  <r>
    <d v="2026-04-25T00:00:00"/>
    <x v="10"/>
    <n v="17825"/>
    <s v="Mason Lab Payment"/>
  </r>
  <r>
    <d v="2026-04-25T00:00:00"/>
    <x v="17"/>
    <n v="1000"/>
    <s v="Selvam SF Pipe work"/>
  </r>
  <r>
    <d v="2026-04-25T00:00:00"/>
    <x v="3"/>
    <n v="1000"/>
    <s v="Pipe purchase by Selvam SF"/>
  </r>
  <r>
    <d v="2026-04-28T00:00:00"/>
    <x v="10"/>
    <n v="2000"/>
    <s v="Azhgiri Mason Advance"/>
  </r>
  <r>
    <d v="2026-04-30T00:00:00"/>
    <x v="19"/>
    <n v="2500"/>
    <s v="Elevation Design Pending Amount"/>
  </r>
  <r>
    <d v="2026-05-02T00:00:00"/>
    <x v="10"/>
    <n v="21725"/>
    <s v="Mason Lab Payment"/>
  </r>
  <r>
    <d v="2026-05-02T00:00:00"/>
    <x v="3"/>
    <n v="24500"/>
    <s v="Flyash Brick"/>
  </r>
  <r>
    <d v="2026-05-02T00:00:00"/>
    <x v="23"/>
    <n v="10000"/>
    <s v="Painting Adv"/>
  </r>
  <r>
    <d v="2026-05-07T00:00:00"/>
    <x v="20"/>
    <n v="50000"/>
    <s v="UPVC Advance"/>
  </r>
  <r>
    <d v="2026-05-07T00:00:00"/>
    <x v="4"/>
    <n v="909"/>
    <s v="Lab Tea"/>
  </r>
  <r>
    <d v="2026-05-08T00:00:00"/>
    <x v="3"/>
    <n v="50000"/>
    <s v="Tiles amount"/>
  </r>
  <r>
    <d v="2026-05-09T00:00:00"/>
    <x v="10"/>
    <n v="10700"/>
    <s v="Rajkumar Mason Payment"/>
  </r>
  <r>
    <d v="2026-05-09T00:00:00"/>
    <x v="17"/>
    <n v="5000"/>
    <s v="Selvam Plumbing and Electrical Work"/>
  </r>
  <r>
    <d v="2026-05-09T00:00:00"/>
    <x v="23"/>
    <n v="10000"/>
    <s v="Painter Adv"/>
  </r>
  <r>
    <d v="2026-05-09T00:00:00"/>
    <x v="21"/>
    <n v="5000"/>
    <s v="Carpenter Lab"/>
  </r>
  <r>
    <d v="2026-05-09T00:00:00"/>
    <x v="3"/>
    <n v="178000"/>
    <s v="Tiles amount"/>
  </r>
  <r>
    <d v="2026-05-09T00:00:00"/>
    <x v="20"/>
    <n v="20000"/>
    <s v="UPVC Advance"/>
  </r>
  <r>
    <d v="2026-05-09T00:00:00"/>
    <x v="3"/>
    <n v="50000"/>
    <s v="Ramdev Payment"/>
  </r>
  <r>
    <d v="2026-05-09T00:00:00"/>
    <x v="3"/>
    <n v="25000"/>
    <s v="Palani muugan payment "/>
  </r>
  <r>
    <d v="2026-05-09T00:00:00"/>
    <x v="19"/>
    <n v="1000"/>
    <s v="Elevation Adv new design"/>
  </r>
  <r>
    <d v="2026-05-11T00:00:00"/>
    <x v="15"/>
    <n v="700"/>
    <s v="Drinking water Nithish"/>
  </r>
  <r>
    <d v="2026-05-12T00:00:00"/>
    <x v="7"/>
    <n v="3200"/>
    <s v="Tiles transport amt"/>
  </r>
  <r>
    <d v="2026-05-12T00:00:00"/>
    <x v="24"/>
    <n v="2800"/>
    <s v="Tiles Unloading Labour"/>
  </r>
  <r>
    <d v="2026-05-12T00:00:00"/>
    <x v="3"/>
    <n v="2845"/>
    <s v="Tiles remaining purchase"/>
  </r>
  <r>
    <d v="2026-05-13T00:00:00"/>
    <x v="23"/>
    <n v="3000"/>
    <s v="Painter Adv"/>
  </r>
  <r>
    <m/>
    <x v="2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8C9A3-14B4-46FA-8D51-AAF7A0B6E9C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nse">
  <location ref="A3:B29" firstHeaderRow="1" firstDataRow="1" firstDataCol="1"/>
  <pivotFields count="4">
    <pivotField showAll="0"/>
    <pivotField axis="axisRow" showAll="0">
      <items count="30">
        <item x="3"/>
        <item x="6"/>
        <item x="5"/>
        <item x="2"/>
        <item x="7"/>
        <item m="1" x="27"/>
        <item x="0"/>
        <item h="1" x="25"/>
        <item x="10"/>
        <item x="9"/>
        <item x="4"/>
        <item m="1" x="28"/>
        <item x="13"/>
        <item x="11"/>
        <item x="1"/>
        <item x="8"/>
        <item m="1" x="26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Total_Amount" fld="2" baseField="0" baseItem="0" numFmtId="8"/>
  </dataFields>
  <formats count="8"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axis="axisValues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1" count="1">
            <x v="15"/>
          </reference>
        </references>
      </pivotArea>
    </format>
    <format dxfId="2">
      <pivotArea dataOnly="0" labelOnly="1" fieldPosition="0">
        <references count="1">
          <reference field="1" count="1">
            <x v="17"/>
          </reference>
        </references>
      </pivotArea>
    </format>
    <format dxfId="1">
      <pivotArea dataOnly="0" labelOnly="1" fieldPosition="0">
        <references count="1">
          <reference field="1" count="1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836791-65A6-47F8-8DC2-D2CC6C9873DB}" name="Table1" displayName="Table1" ref="A3:D7" totalsRowShown="0">
  <autoFilter ref="A3:D7" xr:uid="{8B836791-65A6-47F8-8DC2-D2CC6C9873DB}"/>
  <tableColumns count="4">
    <tableColumn id="1" xr3:uid="{82E49AF5-3376-4D78-965C-AE65D2CD931F}" name="DATE" dataDxfId="0"/>
    <tableColumn id="2" xr3:uid="{13BFE2C8-5578-4AA2-9EC5-1CBB50CE02B8}" name="TYPE OF EXPENSE"/>
    <tableColumn id="3" xr3:uid="{E6662EA1-6DC8-4558-9531-CFD33BE6E9DE}" name="AMOUNT"/>
    <tableColumn id="4" xr3:uid="{03A877C5-E326-4DFC-89C8-2358EE89F275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opLeftCell="A23" workbookViewId="0">
      <selection activeCell="A32" sqref="A32:E37"/>
    </sheetView>
  </sheetViews>
  <sheetFormatPr defaultRowHeight="14.5" x14ac:dyDescent="0.35"/>
  <cols>
    <col min="1" max="1" width="8.08984375" style="5" bestFit="1" customWidth="1"/>
    <col min="2" max="2" width="12.7265625" style="8" bestFit="1" customWidth="1"/>
    <col min="3" max="3" width="12.7265625" style="8" customWidth="1"/>
    <col min="4" max="4" width="17.7265625" bestFit="1" customWidth="1"/>
    <col min="5" max="5" width="32.08984375" bestFit="1" customWidth="1"/>
    <col min="7" max="7" width="10.26953125" bestFit="1" customWidth="1"/>
    <col min="9" max="9" width="31.26953125" bestFit="1" customWidth="1"/>
    <col min="10" max="10" width="12.7265625" bestFit="1" customWidth="1"/>
  </cols>
  <sheetData>
    <row r="1" spans="1:10" x14ac:dyDescent="0.35">
      <c r="A1" s="3" t="s">
        <v>0</v>
      </c>
      <c r="B1" s="6" t="s">
        <v>1</v>
      </c>
      <c r="C1" s="6" t="s">
        <v>80</v>
      </c>
      <c r="D1" s="2" t="s">
        <v>2</v>
      </c>
      <c r="E1" s="2" t="s">
        <v>3</v>
      </c>
      <c r="I1" t="s">
        <v>16</v>
      </c>
      <c r="J1" s="8">
        <f>SUM(B2:B201)</f>
        <v>4650000</v>
      </c>
    </row>
    <row r="2" spans="1:10" x14ac:dyDescent="0.35">
      <c r="A2" s="4">
        <v>45911</v>
      </c>
      <c r="B2" s="7">
        <v>200000</v>
      </c>
      <c r="C2" s="7" t="s">
        <v>81</v>
      </c>
      <c r="D2" s="1" t="s">
        <v>19</v>
      </c>
      <c r="E2" s="1" t="s">
        <v>23</v>
      </c>
      <c r="F2" s="9"/>
      <c r="G2" s="8"/>
      <c r="J2" s="8"/>
    </row>
    <row r="3" spans="1:10" x14ac:dyDescent="0.35">
      <c r="A3" s="4">
        <v>45920</v>
      </c>
      <c r="B3" s="7">
        <v>100000</v>
      </c>
      <c r="C3" s="7" t="s">
        <v>81</v>
      </c>
      <c r="D3" s="1" t="s">
        <v>19</v>
      </c>
      <c r="E3" s="1" t="s">
        <v>23</v>
      </c>
      <c r="F3" s="9"/>
      <c r="G3" s="8"/>
      <c r="I3" t="s">
        <v>98</v>
      </c>
      <c r="J3" s="8">
        <f>SUMIF(C2:C101,"SK",B2:B101)</f>
        <v>4350000</v>
      </c>
    </row>
    <row r="4" spans="1:10" x14ac:dyDescent="0.35">
      <c r="A4" s="4">
        <v>45925</v>
      </c>
      <c r="B4" s="7">
        <v>200000</v>
      </c>
      <c r="C4" s="7" t="s">
        <v>82</v>
      </c>
      <c r="D4" s="1" t="s">
        <v>19</v>
      </c>
      <c r="E4" s="1" t="s">
        <v>105</v>
      </c>
      <c r="F4" s="9"/>
      <c r="G4" s="8"/>
      <c r="I4" t="s">
        <v>79</v>
      </c>
      <c r="J4" s="8">
        <f>SUMIF(C2:C101,"TSK",B2:B101)</f>
        <v>300000</v>
      </c>
    </row>
    <row r="5" spans="1:10" x14ac:dyDescent="0.35">
      <c r="A5" s="4">
        <v>45934</v>
      </c>
      <c r="B5" s="7">
        <v>50000</v>
      </c>
      <c r="C5" s="7" t="s">
        <v>81</v>
      </c>
      <c r="D5" s="1" t="s">
        <v>99</v>
      </c>
      <c r="E5" s="1" t="s">
        <v>100</v>
      </c>
      <c r="F5" s="9"/>
      <c r="G5" s="8"/>
    </row>
    <row r="6" spans="1:10" x14ac:dyDescent="0.35">
      <c r="A6" s="4">
        <v>45937</v>
      </c>
      <c r="B6" s="7">
        <v>100000</v>
      </c>
      <c r="C6" s="7" t="s">
        <v>82</v>
      </c>
      <c r="D6" s="1" t="s">
        <v>19</v>
      </c>
      <c r="E6" s="1" t="s">
        <v>104</v>
      </c>
      <c r="F6" s="9"/>
      <c r="G6" s="8"/>
      <c r="J6" s="8"/>
    </row>
    <row r="7" spans="1:10" x14ac:dyDescent="0.35">
      <c r="A7" s="4">
        <v>45938</v>
      </c>
      <c r="B7" s="7">
        <v>50000</v>
      </c>
      <c r="C7" s="7" t="s">
        <v>81</v>
      </c>
      <c r="D7" s="1" t="s">
        <v>19</v>
      </c>
      <c r="E7" s="1" t="s">
        <v>23</v>
      </c>
      <c r="F7" s="9"/>
      <c r="G7" s="8"/>
    </row>
    <row r="8" spans="1:10" x14ac:dyDescent="0.35">
      <c r="A8" s="4">
        <v>45941</v>
      </c>
      <c r="B8" s="7">
        <v>100000</v>
      </c>
      <c r="C8" s="7" t="s">
        <v>81</v>
      </c>
      <c r="D8" s="1" t="s">
        <v>19</v>
      </c>
      <c r="E8" s="1" t="s">
        <v>115</v>
      </c>
      <c r="F8" s="9"/>
      <c r="G8" s="8"/>
    </row>
    <row r="9" spans="1:10" x14ac:dyDescent="0.35">
      <c r="A9" s="4">
        <v>45946</v>
      </c>
      <c r="B9" s="7">
        <v>200000</v>
      </c>
      <c r="C9" s="7" t="s">
        <v>81</v>
      </c>
      <c r="D9" s="1" t="s">
        <v>19</v>
      </c>
      <c r="E9" s="1" t="s">
        <v>128</v>
      </c>
      <c r="F9" s="9"/>
      <c r="G9" s="8"/>
    </row>
    <row r="10" spans="1:10" x14ac:dyDescent="0.35">
      <c r="A10" s="4">
        <v>45953</v>
      </c>
      <c r="B10" s="7">
        <v>200000</v>
      </c>
      <c r="C10" s="7" t="s">
        <v>81</v>
      </c>
      <c r="D10" s="1" t="s">
        <v>19</v>
      </c>
      <c r="E10" s="1" t="s">
        <v>128</v>
      </c>
      <c r="F10" s="9"/>
      <c r="G10" s="8"/>
    </row>
    <row r="11" spans="1:10" x14ac:dyDescent="0.35">
      <c r="A11" s="4">
        <v>45959</v>
      </c>
      <c r="B11" s="7">
        <v>100000</v>
      </c>
      <c r="C11" s="7" t="s">
        <v>81</v>
      </c>
      <c r="D11" s="1" t="s">
        <v>19</v>
      </c>
      <c r="E11" s="1" t="s">
        <v>141</v>
      </c>
      <c r="F11" s="9"/>
      <c r="G11" s="8"/>
    </row>
    <row r="12" spans="1:10" x14ac:dyDescent="0.35">
      <c r="A12" s="4">
        <v>45966</v>
      </c>
      <c r="B12" s="7">
        <v>100000</v>
      </c>
      <c r="C12" s="7" t="s">
        <v>81</v>
      </c>
      <c r="D12" s="1" t="s">
        <v>19</v>
      </c>
      <c r="E12" s="1" t="s">
        <v>152</v>
      </c>
      <c r="F12" s="9"/>
      <c r="G12" s="8"/>
    </row>
    <row r="13" spans="1:10" x14ac:dyDescent="0.35">
      <c r="A13" s="4">
        <v>45971</v>
      </c>
      <c r="B13" s="7">
        <v>100000</v>
      </c>
      <c r="C13" s="7" t="s">
        <v>81</v>
      </c>
      <c r="D13" s="1" t="s">
        <v>19</v>
      </c>
      <c r="E13" s="1" t="s">
        <v>152</v>
      </c>
      <c r="F13" s="9"/>
      <c r="G13" s="8"/>
    </row>
    <row r="14" spans="1:10" x14ac:dyDescent="0.35">
      <c r="A14" s="4">
        <v>45979</v>
      </c>
      <c r="B14" s="7">
        <v>65000</v>
      </c>
      <c r="C14" s="7" t="s">
        <v>81</v>
      </c>
      <c r="D14" s="1" t="s">
        <v>19</v>
      </c>
      <c r="E14" s="1" t="s">
        <v>152</v>
      </c>
      <c r="F14" s="9"/>
      <c r="G14" s="8"/>
    </row>
    <row r="15" spans="1:10" x14ac:dyDescent="0.35">
      <c r="A15" s="4">
        <v>45980</v>
      </c>
      <c r="B15" s="7">
        <v>35000</v>
      </c>
      <c r="C15" s="7" t="s">
        <v>81</v>
      </c>
      <c r="D15" s="1" t="s">
        <v>19</v>
      </c>
      <c r="E15" s="1" t="s">
        <v>152</v>
      </c>
      <c r="F15" s="9"/>
      <c r="G15" s="8"/>
    </row>
    <row r="16" spans="1:10" x14ac:dyDescent="0.35">
      <c r="A16" s="4">
        <v>45986</v>
      </c>
      <c r="B16" s="7">
        <v>100000</v>
      </c>
      <c r="C16" s="7" t="s">
        <v>81</v>
      </c>
      <c r="D16" s="1" t="s">
        <v>19</v>
      </c>
      <c r="E16" s="1" t="s">
        <v>152</v>
      </c>
      <c r="F16" s="9"/>
      <c r="G16" s="8"/>
    </row>
    <row r="17" spans="1:7" x14ac:dyDescent="0.35">
      <c r="A17" s="4">
        <v>45989</v>
      </c>
      <c r="B17" s="7">
        <v>200000</v>
      </c>
      <c r="C17" s="7" t="s">
        <v>81</v>
      </c>
      <c r="D17" s="1" t="s">
        <v>19</v>
      </c>
      <c r="E17" s="1" t="s">
        <v>181</v>
      </c>
      <c r="F17" s="9"/>
      <c r="G17" s="8"/>
    </row>
    <row r="18" spans="1:7" x14ac:dyDescent="0.35">
      <c r="A18" s="4">
        <v>45999</v>
      </c>
      <c r="B18" s="7">
        <v>300000</v>
      </c>
      <c r="C18" s="7" t="s">
        <v>81</v>
      </c>
      <c r="D18" s="1" t="s">
        <v>19</v>
      </c>
      <c r="E18" s="1" t="s">
        <v>181</v>
      </c>
      <c r="F18" s="9"/>
      <c r="G18" s="8"/>
    </row>
    <row r="19" spans="1:7" x14ac:dyDescent="0.35">
      <c r="A19" s="4">
        <v>46011</v>
      </c>
      <c r="B19" s="7">
        <v>90000</v>
      </c>
      <c r="C19" s="7" t="s">
        <v>81</v>
      </c>
      <c r="D19" s="1" t="s">
        <v>99</v>
      </c>
      <c r="E19" s="1" t="s">
        <v>181</v>
      </c>
      <c r="F19" s="9"/>
      <c r="G19" s="8"/>
    </row>
    <row r="20" spans="1:7" x14ac:dyDescent="0.35">
      <c r="A20" s="4">
        <v>46014</v>
      </c>
      <c r="B20" s="7">
        <v>10000</v>
      </c>
      <c r="C20" s="7" t="s">
        <v>81</v>
      </c>
      <c r="D20" s="1" t="s">
        <v>99</v>
      </c>
      <c r="E20" s="1" t="s">
        <v>181</v>
      </c>
      <c r="F20" s="9"/>
      <c r="G20" s="8"/>
    </row>
    <row r="21" spans="1:7" x14ac:dyDescent="0.35">
      <c r="A21" s="4">
        <v>46018</v>
      </c>
      <c r="B21" s="7">
        <v>100000</v>
      </c>
      <c r="C21" s="7" t="s">
        <v>81</v>
      </c>
      <c r="D21" s="1" t="s">
        <v>19</v>
      </c>
      <c r="E21" s="1" t="s">
        <v>181</v>
      </c>
      <c r="F21" s="9"/>
      <c r="G21" s="8"/>
    </row>
    <row r="22" spans="1:7" x14ac:dyDescent="0.35">
      <c r="A22" s="4">
        <v>46022</v>
      </c>
      <c r="B22" s="7">
        <v>50000</v>
      </c>
      <c r="C22" s="7" t="s">
        <v>81</v>
      </c>
      <c r="D22" s="1" t="s">
        <v>99</v>
      </c>
      <c r="E22" s="1" t="s">
        <v>210</v>
      </c>
      <c r="F22" s="9"/>
      <c r="G22" s="8"/>
    </row>
    <row r="23" spans="1:7" x14ac:dyDescent="0.35">
      <c r="A23" s="4">
        <v>46023</v>
      </c>
      <c r="B23" s="7">
        <v>50000</v>
      </c>
      <c r="C23" s="7" t="s">
        <v>81</v>
      </c>
      <c r="D23" s="1" t="s">
        <v>99</v>
      </c>
      <c r="E23" s="1" t="s">
        <v>211</v>
      </c>
    </row>
    <row r="24" spans="1:7" x14ac:dyDescent="0.35">
      <c r="A24" s="4">
        <v>46025</v>
      </c>
      <c r="B24" s="7">
        <v>400000</v>
      </c>
      <c r="C24" s="7" t="s">
        <v>81</v>
      </c>
      <c r="D24" s="1" t="s">
        <v>19</v>
      </c>
      <c r="E24" s="1" t="s">
        <v>212</v>
      </c>
    </row>
    <row r="25" spans="1:7" x14ac:dyDescent="0.35">
      <c r="A25" s="4">
        <v>46060</v>
      </c>
      <c r="B25" s="7">
        <v>100000</v>
      </c>
      <c r="C25" s="7" t="s">
        <v>81</v>
      </c>
      <c r="D25" s="1" t="s">
        <v>99</v>
      </c>
      <c r="E25" s="1" t="s">
        <v>247</v>
      </c>
    </row>
    <row r="26" spans="1:7" x14ac:dyDescent="0.35">
      <c r="A26" s="4">
        <v>46065</v>
      </c>
      <c r="B26" s="7">
        <v>400000</v>
      </c>
      <c r="C26" s="7" t="s">
        <v>81</v>
      </c>
      <c r="D26" s="1" t="s">
        <v>19</v>
      </c>
      <c r="E26" s="1" t="s">
        <v>249</v>
      </c>
    </row>
    <row r="27" spans="1:7" x14ac:dyDescent="0.35">
      <c r="A27" s="4">
        <v>46072</v>
      </c>
      <c r="B27" s="7">
        <v>200000</v>
      </c>
      <c r="C27" s="7" t="s">
        <v>81</v>
      </c>
      <c r="D27" s="1" t="s">
        <v>19</v>
      </c>
      <c r="E27" s="1" t="s">
        <v>252</v>
      </c>
    </row>
    <row r="28" spans="1:7" x14ac:dyDescent="0.35">
      <c r="A28" s="4">
        <v>46081</v>
      </c>
      <c r="B28" s="7">
        <v>50000</v>
      </c>
      <c r="C28" s="7" t="s">
        <v>81</v>
      </c>
      <c r="D28" s="1" t="s">
        <v>19</v>
      </c>
      <c r="E28" s="1" t="s">
        <v>258</v>
      </c>
    </row>
    <row r="29" spans="1:7" x14ac:dyDescent="0.35">
      <c r="A29" s="4">
        <v>46066</v>
      </c>
      <c r="B29" s="7">
        <v>50000</v>
      </c>
      <c r="C29" s="7" t="s">
        <v>81</v>
      </c>
      <c r="D29" s="1" t="s">
        <v>19</v>
      </c>
      <c r="E29" s="1" t="s">
        <v>264</v>
      </c>
    </row>
    <row r="30" spans="1:7" x14ac:dyDescent="0.35">
      <c r="A30" s="4">
        <v>46099</v>
      </c>
      <c r="B30" s="7">
        <v>50000</v>
      </c>
      <c r="C30" s="7" t="s">
        <v>81</v>
      </c>
      <c r="D30" s="1" t="s">
        <v>19</v>
      </c>
      <c r="E30" s="1" t="s">
        <v>267</v>
      </c>
    </row>
    <row r="31" spans="1:7" x14ac:dyDescent="0.35">
      <c r="A31" s="4">
        <v>46113</v>
      </c>
      <c r="B31" s="7">
        <v>70000</v>
      </c>
      <c r="C31" s="7" t="s">
        <v>81</v>
      </c>
      <c r="D31" s="1" t="s">
        <v>282</v>
      </c>
      <c r="E31" s="1" t="s">
        <v>283</v>
      </c>
      <c r="F31" t="s">
        <v>284</v>
      </c>
      <c r="G31" s="8">
        <f>B31*18%</f>
        <v>12600</v>
      </c>
    </row>
    <row r="32" spans="1:7" x14ac:dyDescent="0.35">
      <c r="A32" s="4">
        <v>46114</v>
      </c>
      <c r="B32" s="7">
        <v>30000</v>
      </c>
      <c r="C32" s="7" t="s">
        <v>81</v>
      </c>
      <c r="D32" s="1" t="s">
        <v>282</v>
      </c>
      <c r="E32" s="1" t="s">
        <v>291</v>
      </c>
      <c r="F32" t="s">
        <v>284</v>
      </c>
      <c r="G32" s="8">
        <f>B32*18%</f>
        <v>5400</v>
      </c>
    </row>
    <row r="33" spans="1:5" x14ac:dyDescent="0.35">
      <c r="A33" s="4">
        <v>46122</v>
      </c>
      <c r="B33" s="7">
        <v>100000</v>
      </c>
      <c r="C33" s="7" t="s">
        <v>81</v>
      </c>
      <c r="D33" s="1" t="s">
        <v>19</v>
      </c>
      <c r="E33" s="1" t="s">
        <v>307</v>
      </c>
    </row>
    <row r="34" spans="1:5" x14ac:dyDescent="0.35">
      <c r="A34" s="4">
        <v>46130</v>
      </c>
      <c r="B34" s="7">
        <v>100000</v>
      </c>
      <c r="C34" s="7" t="s">
        <v>81</v>
      </c>
      <c r="D34" s="1" t="s">
        <v>19</v>
      </c>
      <c r="E34" s="1" t="s">
        <v>320</v>
      </c>
    </row>
    <row r="35" spans="1:5" x14ac:dyDescent="0.35">
      <c r="A35" s="4">
        <v>46144</v>
      </c>
      <c r="B35" s="7">
        <v>300000</v>
      </c>
      <c r="C35" s="7" t="s">
        <v>81</v>
      </c>
      <c r="D35" s="1" t="s">
        <v>19</v>
      </c>
      <c r="E35" s="1" t="s">
        <v>328</v>
      </c>
    </row>
    <row r="36" spans="1:5" x14ac:dyDescent="0.35">
      <c r="A36" s="4">
        <v>46150</v>
      </c>
      <c r="B36" s="7">
        <v>200000</v>
      </c>
      <c r="C36" s="7" t="s">
        <v>81</v>
      </c>
      <c r="D36" s="1" t="s">
        <v>19</v>
      </c>
      <c r="E36" s="1" t="s">
        <v>320</v>
      </c>
    </row>
    <row r="37" spans="1:5" x14ac:dyDescent="0.35">
      <c r="A37" s="4">
        <v>46178</v>
      </c>
      <c r="B37" s="7">
        <v>100000</v>
      </c>
      <c r="C37" s="7" t="s">
        <v>81</v>
      </c>
      <c r="D37" s="1" t="s">
        <v>19</v>
      </c>
      <c r="E37" s="1" t="s">
        <v>320</v>
      </c>
    </row>
  </sheetData>
  <autoFilter ref="A1:E2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AC5E-A74E-4151-8738-1C2F14C945B6}">
  <dimension ref="A1:L417"/>
  <sheetViews>
    <sheetView tabSelected="1" topLeftCell="A396" workbookViewId="0">
      <selection activeCell="B417" sqref="B417"/>
    </sheetView>
  </sheetViews>
  <sheetFormatPr defaultRowHeight="14.5" x14ac:dyDescent="0.35"/>
  <cols>
    <col min="1" max="1" width="10.08984375" style="5" bestFit="1" customWidth="1"/>
    <col min="2" max="2" width="19.453125" bestFit="1" customWidth="1"/>
    <col min="3" max="3" width="11.7265625" style="8" bestFit="1" customWidth="1"/>
    <col min="4" max="4" width="59.90625" bestFit="1" customWidth="1"/>
    <col min="5" max="5" width="19.453125" bestFit="1" customWidth="1"/>
    <col min="6" max="6" width="17.81640625" hidden="1" customWidth="1"/>
    <col min="7" max="7" width="15" hidden="1" customWidth="1"/>
    <col min="8" max="8" width="13.6328125" customWidth="1"/>
    <col min="9" max="9" width="13.26953125" bestFit="1" customWidth="1"/>
    <col min="10" max="10" width="12.7265625" bestFit="1" customWidth="1"/>
    <col min="11" max="11" width="15" bestFit="1" customWidth="1"/>
    <col min="12" max="12" width="11.7265625" bestFit="1" customWidth="1"/>
  </cols>
  <sheetData>
    <row r="1" spans="1:12" x14ac:dyDescent="0.35">
      <c r="A1" s="3" t="s">
        <v>0</v>
      </c>
      <c r="B1" s="2" t="s">
        <v>4</v>
      </c>
      <c r="C1" s="6" t="s">
        <v>1</v>
      </c>
      <c r="D1" s="2" t="s">
        <v>3</v>
      </c>
      <c r="I1" s="11" t="s">
        <v>6</v>
      </c>
      <c r="J1" s="7">
        <f>'Payment Received'!J1</f>
        <v>4650000</v>
      </c>
    </row>
    <row r="2" spans="1:12" x14ac:dyDescent="0.35">
      <c r="A2" s="4">
        <v>45911</v>
      </c>
      <c r="B2" s="1" t="s">
        <v>5</v>
      </c>
      <c r="C2" s="7">
        <v>790</v>
      </c>
      <c r="D2" s="1" t="s">
        <v>20</v>
      </c>
      <c r="I2" s="17" t="s">
        <v>7</v>
      </c>
      <c r="J2" s="7">
        <f>SUM(C2:C508)</f>
        <v>4734835</v>
      </c>
    </row>
    <row r="3" spans="1:12" x14ac:dyDescent="0.35">
      <c r="A3" s="4">
        <v>45911</v>
      </c>
      <c r="B3" s="1" t="s">
        <v>5</v>
      </c>
      <c r="C3" s="7">
        <v>500</v>
      </c>
      <c r="D3" s="1" t="s">
        <v>21</v>
      </c>
      <c r="I3" s="12" t="s">
        <v>13</v>
      </c>
      <c r="J3" s="7">
        <f>J1-J2</f>
        <v>-84835</v>
      </c>
      <c r="K3" t="s">
        <v>228</v>
      </c>
    </row>
    <row r="4" spans="1:12" x14ac:dyDescent="0.35">
      <c r="A4" s="4">
        <v>45911</v>
      </c>
      <c r="B4" s="1" t="s">
        <v>5</v>
      </c>
      <c r="C4" s="7">
        <v>200</v>
      </c>
      <c r="D4" s="1" t="s">
        <v>22</v>
      </c>
      <c r="K4" s="18"/>
      <c r="L4" s="8"/>
    </row>
    <row r="5" spans="1:12" x14ac:dyDescent="0.35">
      <c r="A5" s="4">
        <v>45916</v>
      </c>
      <c r="B5" s="1" t="s">
        <v>39</v>
      </c>
      <c r="C5" s="7">
        <v>100</v>
      </c>
      <c r="D5" s="1" t="s">
        <v>42</v>
      </c>
      <c r="J5" s="8">
        <f>J3-150000</f>
        <v>-234835</v>
      </c>
    </row>
    <row r="6" spans="1:12" x14ac:dyDescent="0.35">
      <c r="A6" s="4">
        <v>45917</v>
      </c>
      <c r="B6" s="1" t="s">
        <v>39</v>
      </c>
      <c r="C6" s="7">
        <v>100</v>
      </c>
      <c r="D6" s="1" t="s">
        <v>42</v>
      </c>
    </row>
    <row r="7" spans="1:12" x14ac:dyDescent="0.35">
      <c r="A7" s="4">
        <v>45917</v>
      </c>
      <c r="B7" s="1" t="s">
        <v>5</v>
      </c>
      <c r="C7" s="7">
        <v>90</v>
      </c>
      <c r="D7" s="1" t="s">
        <v>43</v>
      </c>
    </row>
    <row r="8" spans="1:12" x14ac:dyDescent="0.35">
      <c r="A8" s="4">
        <v>45918</v>
      </c>
      <c r="B8" s="1" t="s">
        <v>24</v>
      </c>
      <c r="C8" s="7">
        <v>2400</v>
      </c>
      <c r="D8" s="1" t="s">
        <v>44</v>
      </c>
    </row>
    <row r="9" spans="1:12" x14ac:dyDescent="0.35">
      <c r="A9" s="4">
        <v>45918</v>
      </c>
      <c r="B9" s="1" t="s">
        <v>24</v>
      </c>
      <c r="C9" s="7">
        <v>1140</v>
      </c>
      <c r="D9" s="1" t="s">
        <v>45</v>
      </c>
    </row>
    <row r="10" spans="1:12" x14ac:dyDescent="0.35">
      <c r="A10" s="4">
        <v>45918</v>
      </c>
      <c r="B10" s="7" t="s">
        <v>26</v>
      </c>
      <c r="C10" s="7">
        <v>90780</v>
      </c>
      <c r="D10" s="1" t="s">
        <v>46</v>
      </c>
      <c r="H10" s="8"/>
    </row>
    <row r="11" spans="1:12" x14ac:dyDescent="0.35">
      <c r="A11" s="4">
        <v>45918</v>
      </c>
      <c r="B11" s="1" t="s">
        <v>35</v>
      </c>
      <c r="C11" s="7">
        <v>80</v>
      </c>
      <c r="D11" s="1" t="s">
        <v>47</v>
      </c>
    </row>
    <row r="12" spans="1:12" x14ac:dyDescent="0.35">
      <c r="A12" s="4">
        <v>45918</v>
      </c>
      <c r="B12" s="1" t="s">
        <v>35</v>
      </c>
      <c r="C12" s="7">
        <v>130</v>
      </c>
      <c r="D12" s="1" t="s">
        <v>47</v>
      </c>
    </row>
    <row r="13" spans="1:12" x14ac:dyDescent="0.35">
      <c r="A13" s="4">
        <v>45918</v>
      </c>
      <c r="B13" s="1" t="s">
        <v>39</v>
      </c>
      <c r="C13" s="7">
        <v>100</v>
      </c>
      <c r="D13" s="1" t="s">
        <v>48</v>
      </c>
    </row>
    <row r="14" spans="1:12" x14ac:dyDescent="0.35">
      <c r="A14" s="4">
        <v>45918</v>
      </c>
      <c r="B14" s="1" t="s">
        <v>36</v>
      </c>
      <c r="C14" s="7">
        <v>9700</v>
      </c>
      <c r="D14" s="1" t="s">
        <v>49</v>
      </c>
    </row>
    <row r="15" spans="1:12" x14ac:dyDescent="0.35">
      <c r="A15" s="4">
        <v>45918</v>
      </c>
      <c r="B15" s="1" t="s">
        <v>25</v>
      </c>
      <c r="C15" s="7">
        <v>650</v>
      </c>
      <c r="D15" s="1" t="s">
        <v>50</v>
      </c>
    </row>
    <row r="16" spans="1:12" x14ac:dyDescent="0.35">
      <c r="A16" s="4">
        <v>45919</v>
      </c>
      <c r="B16" s="1" t="s">
        <v>40</v>
      </c>
      <c r="C16" s="7">
        <v>1100</v>
      </c>
      <c r="D16" s="1" t="s">
        <v>51</v>
      </c>
    </row>
    <row r="17" spans="1:9" x14ac:dyDescent="0.35">
      <c r="A17" s="4">
        <v>45919</v>
      </c>
      <c r="B17" s="1" t="s">
        <v>52</v>
      </c>
      <c r="C17" s="7">
        <v>19500</v>
      </c>
      <c r="D17" s="1" t="s">
        <v>53</v>
      </c>
      <c r="I17" s="8"/>
    </row>
    <row r="18" spans="1:9" x14ac:dyDescent="0.35">
      <c r="A18" s="4">
        <v>45919</v>
      </c>
      <c r="B18" s="1" t="s">
        <v>5</v>
      </c>
      <c r="C18" s="7">
        <v>100</v>
      </c>
      <c r="D18" s="1" t="s">
        <v>54</v>
      </c>
    </row>
    <row r="19" spans="1:9" x14ac:dyDescent="0.35">
      <c r="A19" s="4">
        <v>45919</v>
      </c>
      <c r="B19" s="1" t="s">
        <v>5</v>
      </c>
      <c r="C19" s="7">
        <v>1580</v>
      </c>
      <c r="D19" s="1" t="s">
        <v>55</v>
      </c>
    </row>
    <row r="20" spans="1:9" x14ac:dyDescent="0.35">
      <c r="A20" s="4">
        <v>45919</v>
      </c>
      <c r="B20" s="1" t="s">
        <v>24</v>
      </c>
      <c r="C20" s="7">
        <v>870</v>
      </c>
      <c r="D20" s="1" t="s">
        <v>56</v>
      </c>
    </row>
    <row r="21" spans="1:9" x14ac:dyDescent="0.35">
      <c r="A21" s="4">
        <v>45919</v>
      </c>
      <c r="B21" s="1" t="s">
        <v>35</v>
      </c>
      <c r="C21" s="7">
        <v>40</v>
      </c>
      <c r="D21" s="1" t="s">
        <v>47</v>
      </c>
    </row>
    <row r="22" spans="1:9" x14ac:dyDescent="0.35">
      <c r="A22" s="4">
        <v>45919</v>
      </c>
      <c r="B22" s="1" t="s">
        <v>39</v>
      </c>
      <c r="C22" s="7">
        <v>500</v>
      </c>
      <c r="D22" s="1" t="s">
        <v>57</v>
      </c>
    </row>
    <row r="23" spans="1:9" x14ac:dyDescent="0.35">
      <c r="A23" s="4">
        <v>45920</v>
      </c>
      <c r="B23" s="1" t="s">
        <v>39</v>
      </c>
      <c r="C23" s="7">
        <v>715</v>
      </c>
      <c r="D23" s="1" t="s">
        <v>58</v>
      </c>
    </row>
    <row r="24" spans="1:9" x14ac:dyDescent="0.35">
      <c r="A24" s="4">
        <v>45920</v>
      </c>
      <c r="B24" s="1" t="s">
        <v>39</v>
      </c>
      <c r="C24" s="7">
        <v>200</v>
      </c>
      <c r="D24" s="1" t="s">
        <v>59</v>
      </c>
    </row>
    <row r="25" spans="1:9" x14ac:dyDescent="0.35">
      <c r="A25" s="4">
        <v>45920</v>
      </c>
      <c r="B25" s="1" t="s">
        <v>5</v>
      </c>
      <c r="C25" s="7">
        <v>4100</v>
      </c>
      <c r="D25" s="1" t="s">
        <v>60</v>
      </c>
    </row>
    <row r="26" spans="1:9" x14ac:dyDescent="0.35">
      <c r="A26" s="4">
        <v>45920</v>
      </c>
      <c r="B26" s="1" t="s">
        <v>35</v>
      </c>
      <c r="C26" s="7">
        <v>80</v>
      </c>
      <c r="D26" s="1" t="s">
        <v>47</v>
      </c>
    </row>
    <row r="27" spans="1:9" x14ac:dyDescent="0.35">
      <c r="A27" s="4">
        <v>45920</v>
      </c>
      <c r="B27" s="1" t="s">
        <v>5</v>
      </c>
      <c r="C27" s="7">
        <v>200</v>
      </c>
      <c r="D27" s="1" t="s">
        <v>61</v>
      </c>
    </row>
    <row r="28" spans="1:9" x14ac:dyDescent="0.35">
      <c r="A28" s="4">
        <v>45920</v>
      </c>
      <c r="B28" s="1" t="s">
        <v>29</v>
      </c>
      <c r="C28" s="7">
        <v>3300</v>
      </c>
      <c r="D28" s="1" t="s">
        <v>62</v>
      </c>
    </row>
    <row r="29" spans="1:9" x14ac:dyDescent="0.35">
      <c r="A29" s="4">
        <v>45920</v>
      </c>
      <c r="B29" s="1" t="s">
        <v>27</v>
      </c>
      <c r="C29" s="7">
        <v>2850</v>
      </c>
      <c r="D29" s="1" t="s">
        <v>63</v>
      </c>
    </row>
    <row r="30" spans="1:9" x14ac:dyDescent="0.35">
      <c r="A30" s="4">
        <v>45920</v>
      </c>
      <c r="B30" s="1" t="s">
        <v>39</v>
      </c>
      <c r="C30" s="7">
        <v>700</v>
      </c>
      <c r="D30" s="1" t="s">
        <v>57</v>
      </c>
    </row>
    <row r="31" spans="1:9" x14ac:dyDescent="0.35">
      <c r="A31" s="4">
        <v>45920</v>
      </c>
      <c r="B31" s="1" t="s">
        <v>24</v>
      </c>
      <c r="C31" s="7">
        <v>1680</v>
      </c>
      <c r="D31" s="1" t="s">
        <v>64</v>
      </c>
    </row>
    <row r="32" spans="1:9" x14ac:dyDescent="0.35">
      <c r="A32" s="4">
        <v>45920</v>
      </c>
      <c r="B32" s="1" t="s">
        <v>25</v>
      </c>
      <c r="C32" s="7">
        <v>720</v>
      </c>
      <c r="D32" s="1" t="s">
        <v>50</v>
      </c>
    </row>
    <row r="33" spans="1:4" x14ac:dyDescent="0.35">
      <c r="A33" s="4">
        <v>45921</v>
      </c>
      <c r="B33" s="1" t="s">
        <v>40</v>
      </c>
      <c r="C33" s="7">
        <v>1800</v>
      </c>
      <c r="D33" s="1" t="s">
        <v>65</v>
      </c>
    </row>
    <row r="34" spans="1:4" x14ac:dyDescent="0.35">
      <c r="A34" s="4">
        <v>45921</v>
      </c>
      <c r="B34" s="1" t="s">
        <v>39</v>
      </c>
      <c r="C34" s="7">
        <v>700</v>
      </c>
      <c r="D34" s="1" t="s">
        <v>58</v>
      </c>
    </row>
    <row r="35" spans="1:4" x14ac:dyDescent="0.35">
      <c r="A35" s="4">
        <v>45922</v>
      </c>
      <c r="B35" s="1" t="s">
        <v>39</v>
      </c>
      <c r="C35" s="7">
        <v>100</v>
      </c>
      <c r="D35" s="1" t="s">
        <v>66</v>
      </c>
    </row>
    <row r="36" spans="1:4" x14ac:dyDescent="0.35">
      <c r="A36" s="4">
        <v>45922</v>
      </c>
      <c r="B36" s="1" t="s">
        <v>39</v>
      </c>
      <c r="C36" s="7">
        <v>2000</v>
      </c>
      <c r="D36" s="1" t="s">
        <v>71</v>
      </c>
    </row>
    <row r="37" spans="1:4" x14ac:dyDescent="0.35">
      <c r="A37" s="4">
        <v>45922</v>
      </c>
      <c r="B37" s="1" t="s">
        <v>37</v>
      </c>
      <c r="C37" s="7">
        <v>1200</v>
      </c>
      <c r="D37" s="1" t="s">
        <v>67</v>
      </c>
    </row>
    <row r="38" spans="1:4" x14ac:dyDescent="0.35">
      <c r="A38" s="4">
        <v>45922</v>
      </c>
      <c r="B38" s="1" t="s">
        <v>35</v>
      </c>
      <c r="C38" s="7">
        <v>100</v>
      </c>
      <c r="D38" s="1" t="s">
        <v>47</v>
      </c>
    </row>
    <row r="39" spans="1:4" x14ac:dyDescent="0.35">
      <c r="A39" s="4">
        <v>45923</v>
      </c>
      <c r="B39" s="1" t="s">
        <v>5</v>
      </c>
      <c r="C39" s="7">
        <v>400</v>
      </c>
      <c r="D39" s="1" t="s">
        <v>47</v>
      </c>
    </row>
    <row r="40" spans="1:4" x14ac:dyDescent="0.35">
      <c r="A40" s="4">
        <v>45923</v>
      </c>
      <c r="B40" s="1" t="s">
        <v>24</v>
      </c>
      <c r="C40" s="7">
        <v>1400</v>
      </c>
      <c r="D40" s="1" t="s">
        <v>68</v>
      </c>
    </row>
    <row r="41" spans="1:4" x14ac:dyDescent="0.35">
      <c r="A41" s="4">
        <v>45923</v>
      </c>
      <c r="B41" s="1" t="s">
        <v>40</v>
      </c>
      <c r="C41" s="7">
        <v>630</v>
      </c>
      <c r="D41" s="1" t="s">
        <v>69</v>
      </c>
    </row>
    <row r="42" spans="1:4" x14ac:dyDescent="0.35">
      <c r="A42" s="4">
        <v>45923</v>
      </c>
      <c r="B42" s="1" t="s">
        <v>29</v>
      </c>
      <c r="C42" s="7">
        <v>100</v>
      </c>
      <c r="D42" s="1" t="s">
        <v>70</v>
      </c>
    </row>
    <row r="43" spans="1:4" x14ac:dyDescent="0.35">
      <c r="A43" s="4">
        <v>45923</v>
      </c>
      <c r="B43" s="1" t="s">
        <v>84</v>
      </c>
      <c r="C43" s="7">
        <v>2000</v>
      </c>
      <c r="D43" s="1" t="s">
        <v>87</v>
      </c>
    </row>
    <row r="44" spans="1:4" x14ac:dyDescent="0.35">
      <c r="A44" s="4">
        <v>45923</v>
      </c>
      <c r="B44" s="1" t="s">
        <v>5</v>
      </c>
      <c r="C44" s="7">
        <v>100</v>
      </c>
      <c r="D44" s="1" t="s">
        <v>85</v>
      </c>
    </row>
    <row r="45" spans="1:4" x14ac:dyDescent="0.35">
      <c r="A45" s="4">
        <v>45923</v>
      </c>
      <c r="B45" s="1" t="s">
        <v>5</v>
      </c>
      <c r="C45" s="7">
        <v>1850</v>
      </c>
      <c r="D45" s="1" t="s">
        <v>86</v>
      </c>
    </row>
    <row r="46" spans="1:4" x14ac:dyDescent="0.35">
      <c r="A46" s="4">
        <v>45924</v>
      </c>
      <c r="B46" s="1" t="s">
        <v>37</v>
      </c>
      <c r="C46" s="7">
        <v>4000</v>
      </c>
      <c r="D46" s="1" t="s">
        <v>72</v>
      </c>
    </row>
    <row r="47" spans="1:4" x14ac:dyDescent="0.35">
      <c r="A47" s="4">
        <v>45924</v>
      </c>
      <c r="B47" s="1" t="s">
        <v>40</v>
      </c>
      <c r="C47" s="7">
        <v>1090</v>
      </c>
      <c r="D47" s="1" t="s">
        <v>73</v>
      </c>
    </row>
    <row r="48" spans="1:4" x14ac:dyDescent="0.35">
      <c r="A48" s="4">
        <v>45924</v>
      </c>
      <c r="B48" s="1" t="s">
        <v>5</v>
      </c>
      <c r="C48" s="7">
        <v>300</v>
      </c>
      <c r="D48" s="1" t="s">
        <v>74</v>
      </c>
    </row>
    <row r="49" spans="1:4" x14ac:dyDescent="0.35">
      <c r="A49" s="4">
        <v>45924</v>
      </c>
      <c r="B49" s="1" t="s">
        <v>5</v>
      </c>
      <c r="C49" s="7">
        <v>500</v>
      </c>
      <c r="D49" s="1" t="s">
        <v>75</v>
      </c>
    </row>
    <row r="50" spans="1:4" x14ac:dyDescent="0.35">
      <c r="A50" s="4">
        <v>45924</v>
      </c>
      <c r="B50" s="1" t="s">
        <v>35</v>
      </c>
      <c r="C50" s="7">
        <v>50</v>
      </c>
      <c r="D50" s="1" t="s">
        <v>47</v>
      </c>
    </row>
    <row r="51" spans="1:4" x14ac:dyDescent="0.35">
      <c r="A51" s="4">
        <v>45924</v>
      </c>
      <c r="B51" s="1" t="s">
        <v>27</v>
      </c>
      <c r="C51" s="7">
        <v>2000</v>
      </c>
      <c r="D51" s="1" t="s">
        <v>83</v>
      </c>
    </row>
    <row r="52" spans="1:4" x14ac:dyDescent="0.35">
      <c r="A52" s="4">
        <v>45924</v>
      </c>
      <c r="B52" s="1" t="s">
        <v>39</v>
      </c>
      <c r="C52" s="7">
        <v>500</v>
      </c>
      <c r="D52" s="1" t="s">
        <v>57</v>
      </c>
    </row>
    <row r="53" spans="1:4" x14ac:dyDescent="0.35">
      <c r="A53" s="4">
        <v>45925</v>
      </c>
      <c r="B53" s="1" t="s">
        <v>26</v>
      </c>
      <c r="C53" s="7">
        <v>136500</v>
      </c>
      <c r="D53" s="1" t="s">
        <v>76</v>
      </c>
    </row>
    <row r="54" spans="1:4" x14ac:dyDescent="0.35">
      <c r="A54" s="4">
        <v>45925</v>
      </c>
      <c r="B54" s="1" t="s">
        <v>27</v>
      </c>
      <c r="C54" s="7">
        <v>200</v>
      </c>
      <c r="D54" s="1" t="s">
        <v>77</v>
      </c>
    </row>
    <row r="55" spans="1:4" x14ac:dyDescent="0.35">
      <c r="A55" s="4">
        <v>45925</v>
      </c>
      <c r="B55" s="1" t="s">
        <v>36</v>
      </c>
      <c r="C55" s="7">
        <v>6000</v>
      </c>
      <c r="D55" s="1" t="s">
        <v>78</v>
      </c>
    </row>
    <row r="56" spans="1:4" x14ac:dyDescent="0.35">
      <c r="A56" s="4">
        <v>45927</v>
      </c>
      <c r="B56" s="1" t="s">
        <v>84</v>
      </c>
      <c r="C56" s="7">
        <v>2000</v>
      </c>
      <c r="D56" s="1" t="s">
        <v>87</v>
      </c>
    </row>
    <row r="57" spans="1:4" x14ac:dyDescent="0.35">
      <c r="A57" s="4">
        <v>45927</v>
      </c>
      <c r="B57" s="1" t="s">
        <v>26</v>
      </c>
      <c r="C57" s="7">
        <v>80600</v>
      </c>
      <c r="D57" s="1" t="s">
        <v>88</v>
      </c>
    </row>
    <row r="58" spans="1:4" x14ac:dyDescent="0.35">
      <c r="A58" s="4">
        <v>45927</v>
      </c>
      <c r="B58" s="1" t="s">
        <v>26</v>
      </c>
      <c r="C58" s="7">
        <v>37200</v>
      </c>
      <c r="D58" s="1" t="s">
        <v>89</v>
      </c>
    </row>
    <row r="59" spans="1:4" x14ac:dyDescent="0.35">
      <c r="A59" s="4">
        <v>45927</v>
      </c>
      <c r="B59" s="1" t="s">
        <v>29</v>
      </c>
      <c r="C59" s="7">
        <v>15100</v>
      </c>
      <c r="D59" s="1" t="s">
        <v>90</v>
      </c>
    </row>
    <row r="60" spans="1:4" x14ac:dyDescent="0.35">
      <c r="A60" s="4">
        <v>45927</v>
      </c>
      <c r="B60" s="1" t="s">
        <v>27</v>
      </c>
      <c r="C60" s="7">
        <v>27500</v>
      </c>
      <c r="D60" s="1" t="s">
        <v>91</v>
      </c>
    </row>
    <row r="61" spans="1:4" x14ac:dyDescent="0.35">
      <c r="A61" s="4">
        <v>45927</v>
      </c>
      <c r="B61" s="1" t="s">
        <v>35</v>
      </c>
      <c r="C61" s="7">
        <v>1000</v>
      </c>
      <c r="D61" s="1" t="s">
        <v>92</v>
      </c>
    </row>
    <row r="62" spans="1:4" x14ac:dyDescent="0.35">
      <c r="A62" s="4">
        <v>45928</v>
      </c>
      <c r="B62" s="1" t="s">
        <v>28</v>
      </c>
      <c r="C62" s="7">
        <v>11000</v>
      </c>
      <c r="D62" s="1" t="s">
        <v>93</v>
      </c>
    </row>
    <row r="63" spans="1:4" x14ac:dyDescent="0.35">
      <c r="A63" s="4">
        <v>45930</v>
      </c>
      <c r="B63" s="1" t="s">
        <v>29</v>
      </c>
      <c r="C63" s="7">
        <v>400</v>
      </c>
      <c r="D63" s="1" t="s">
        <v>70</v>
      </c>
    </row>
    <row r="64" spans="1:4" x14ac:dyDescent="0.35">
      <c r="A64" s="4">
        <v>45931</v>
      </c>
      <c r="B64" s="1" t="s">
        <v>5</v>
      </c>
      <c r="C64" s="7">
        <v>500</v>
      </c>
      <c r="D64" s="1" t="s">
        <v>94</v>
      </c>
    </row>
    <row r="65" spans="1:4" x14ac:dyDescent="0.35">
      <c r="A65" s="4">
        <v>45931</v>
      </c>
      <c r="B65" s="1" t="s">
        <v>27</v>
      </c>
      <c r="C65" s="7">
        <v>5000</v>
      </c>
      <c r="D65" s="1" t="s">
        <v>95</v>
      </c>
    </row>
    <row r="66" spans="1:4" x14ac:dyDescent="0.35">
      <c r="A66" s="4">
        <v>45931</v>
      </c>
      <c r="B66" s="1" t="s">
        <v>39</v>
      </c>
      <c r="C66" s="7">
        <v>515</v>
      </c>
      <c r="D66" s="1" t="s">
        <v>96</v>
      </c>
    </row>
    <row r="67" spans="1:4" x14ac:dyDescent="0.35">
      <c r="A67" s="4">
        <v>45933</v>
      </c>
      <c r="B67" s="1" t="s">
        <v>40</v>
      </c>
      <c r="C67" s="7">
        <v>1050</v>
      </c>
      <c r="D67" s="1" t="s">
        <v>97</v>
      </c>
    </row>
    <row r="68" spans="1:4" x14ac:dyDescent="0.35">
      <c r="A68" s="4">
        <v>45934</v>
      </c>
      <c r="B68" s="1" t="s">
        <v>27</v>
      </c>
      <c r="C68" s="7">
        <v>25000</v>
      </c>
      <c r="D68" s="1" t="s">
        <v>101</v>
      </c>
    </row>
    <row r="69" spans="1:4" x14ac:dyDescent="0.35">
      <c r="A69" s="4">
        <v>45934</v>
      </c>
      <c r="B69" s="1" t="s">
        <v>29</v>
      </c>
      <c r="C69" s="7">
        <v>9000</v>
      </c>
      <c r="D69" s="1" t="s">
        <v>102</v>
      </c>
    </row>
    <row r="70" spans="1:4" x14ac:dyDescent="0.35">
      <c r="A70" s="4">
        <v>45935</v>
      </c>
      <c r="B70" s="1" t="s">
        <v>39</v>
      </c>
      <c r="C70" s="7">
        <v>500</v>
      </c>
      <c r="D70" s="1" t="s">
        <v>103</v>
      </c>
    </row>
    <row r="71" spans="1:4" x14ac:dyDescent="0.35">
      <c r="A71" s="4">
        <v>45936</v>
      </c>
      <c r="B71" s="1" t="s">
        <v>35</v>
      </c>
      <c r="C71" s="7">
        <v>195</v>
      </c>
      <c r="D71" s="1" t="s">
        <v>47</v>
      </c>
    </row>
    <row r="72" spans="1:4" x14ac:dyDescent="0.35">
      <c r="A72" s="4">
        <v>45936</v>
      </c>
      <c r="B72" s="1" t="s">
        <v>28</v>
      </c>
      <c r="C72" s="7">
        <v>14000</v>
      </c>
      <c r="D72" s="1" t="s">
        <v>106</v>
      </c>
    </row>
    <row r="73" spans="1:4" x14ac:dyDescent="0.35">
      <c r="A73" s="4">
        <v>45936</v>
      </c>
      <c r="B73" s="1" t="s">
        <v>35</v>
      </c>
      <c r="C73" s="7">
        <v>1000</v>
      </c>
      <c r="D73" s="1" t="s">
        <v>92</v>
      </c>
    </row>
    <row r="74" spans="1:4" x14ac:dyDescent="0.35">
      <c r="A74" s="4">
        <v>45936</v>
      </c>
      <c r="B74" s="1" t="s">
        <v>27</v>
      </c>
      <c r="C74" s="7">
        <v>3100</v>
      </c>
      <c r="D74" s="1" t="s">
        <v>107</v>
      </c>
    </row>
    <row r="75" spans="1:4" x14ac:dyDescent="0.35">
      <c r="A75" s="4">
        <v>45936</v>
      </c>
      <c r="B75" s="1" t="s">
        <v>5</v>
      </c>
      <c r="C75" s="7">
        <v>530</v>
      </c>
      <c r="D75" s="1" t="s">
        <v>108</v>
      </c>
    </row>
    <row r="76" spans="1:4" x14ac:dyDescent="0.35">
      <c r="A76" s="4">
        <v>45937</v>
      </c>
      <c r="B76" s="1" t="s">
        <v>29</v>
      </c>
      <c r="C76" s="7">
        <v>300</v>
      </c>
      <c r="D76" s="1" t="s">
        <v>109</v>
      </c>
    </row>
    <row r="77" spans="1:4" x14ac:dyDescent="0.35">
      <c r="A77" s="4">
        <v>45937</v>
      </c>
      <c r="B77" s="1" t="s">
        <v>110</v>
      </c>
      <c r="C77" s="7">
        <v>60000</v>
      </c>
      <c r="D77" s="1" t="s">
        <v>111</v>
      </c>
    </row>
    <row r="78" spans="1:4" x14ac:dyDescent="0.35">
      <c r="A78" s="4">
        <v>45938</v>
      </c>
      <c r="B78" s="1" t="s">
        <v>27</v>
      </c>
      <c r="C78" s="7">
        <v>5000</v>
      </c>
      <c r="D78" s="1" t="s">
        <v>112</v>
      </c>
    </row>
    <row r="79" spans="1:4" x14ac:dyDescent="0.35">
      <c r="A79" s="4">
        <v>45940</v>
      </c>
      <c r="B79" s="1" t="s">
        <v>35</v>
      </c>
      <c r="C79" s="7">
        <v>90</v>
      </c>
      <c r="D79" s="1" t="s">
        <v>113</v>
      </c>
    </row>
    <row r="80" spans="1:4" x14ac:dyDescent="0.35">
      <c r="A80" s="4">
        <v>45940</v>
      </c>
      <c r="B80" s="1" t="s">
        <v>39</v>
      </c>
      <c r="C80" s="7">
        <v>600</v>
      </c>
      <c r="D80" s="1" t="s">
        <v>114</v>
      </c>
    </row>
    <row r="81" spans="1:4" x14ac:dyDescent="0.35">
      <c r="A81" s="4">
        <v>45941</v>
      </c>
      <c r="B81" s="1" t="s">
        <v>27</v>
      </c>
      <c r="C81" s="7">
        <v>28250</v>
      </c>
      <c r="D81" s="1" t="s">
        <v>116</v>
      </c>
    </row>
    <row r="82" spans="1:4" x14ac:dyDescent="0.35">
      <c r="A82" s="4">
        <v>45941</v>
      </c>
      <c r="B82" s="1" t="s">
        <v>29</v>
      </c>
      <c r="C82" s="7">
        <v>6000</v>
      </c>
      <c r="D82" s="1" t="s">
        <v>62</v>
      </c>
    </row>
    <row r="83" spans="1:4" x14ac:dyDescent="0.35">
      <c r="A83" s="4">
        <v>45941</v>
      </c>
      <c r="B83" s="1" t="s">
        <v>26</v>
      </c>
      <c r="C83" s="7">
        <v>29500</v>
      </c>
      <c r="D83" s="1" t="s">
        <v>117</v>
      </c>
    </row>
    <row r="84" spans="1:4" x14ac:dyDescent="0.35">
      <c r="A84" s="4">
        <v>45944</v>
      </c>
      <c r="B84" s="1" t="s">
        <v>37</v>
      </c>
      <c r="C84" s="7">
        <v>90</v>
      </c>
      <c r="D84" s="1" t="s">
        <v>118</v>
      </c>
    </row>
    <row r="85" spans="1:4" x14ac:dyDescent="0.35">
      <c r="A85" s="4">
        <v>45944</v>
      </c>
      <c r="B85" s="1" t="s">
        <v>37</v>
      </c>
      <c r="C85" s="7">
        <v>5000</v>
      </c>
      <c r="D85" s="1" t="s">
        <v>119</v>
      </c>
    </row>
    <row r="86" spans="1:4" x14ac:dyDescent="0.35">
      <c r="A86" s="21">
        <v>45944</v>
      </c>
      <c r="B86" s="22" t="s">
        <v>125</v>
      </c>
      <c r="C86" s="23">
        <v>700</v>
      </c>
      <c r="D86" s="22" t="s">
        <v>120</v>
      </c>
    </row>
    <row r="87" spans="1:4" x14ac:dyDescent="0.35">
      <c r="A87" s="4">
        <v>45944</v>
      </c>
      <c r="B87" s="1" t="s">
        <v>41</v>
      </c>
      <c r="C87" s="7">
        <v>1400</v>
      </c>
      <c r="D87" s="1" t="s">
        <v>121</v>
      </c>
    </row>
    <row r="88" spans="1:4" x14ac:dyDescent="0.35">
      <c r="A88" s="4">
        <v>45945</v>
      </c>
      <c r="B88" s="1" t="s">
        <v>35</v>
      </c>
      <c r="C88" s="7">
        <v>500</v>
      </c>
      <c r="D88" s="1" t="s">
        <v>122</v>
      </c>
    </row>
    <row r="89" spans="1:4" x14ac:dyDescent="0.35">
      <c r="A89" s="4">
        <v>45945</v>
      </c>
      <c r="B89" s="1" t="s">
        <v>36</v>
      </c>
      <c r="C89" s="7">
        <v>5000</v>
      </c>
      <c r="D89" s="1" t="s">
        <v>123</v>
      </c>
    </row>
    <row r="90" spans="1:4" x14ac:dyDescent="0.35">
      <c r="A90" s="4">
        <v>45945</v>
      </c>
      <c r="B90" s="1" t="s">
        <v>5</v>
      </c>
      <c r="C90" s="7">
        <v>250</v>
      </c>
      <c r="D90" s="1" t="s">
        <v>124</v>
      </c>
    </row>
    <row r="91" spans="1:4" x14ac:dyDescent="0.35">
      <c r="A91" s="4">
        <v>45946</v>
      </c>
      <c r="B91" s="1" t="s">
        <v>39</v>
      </c>
      <c r="C91" s="7">
        <v>490</v>
      </c>
      <c r="D91" s="1" t="s">
        <v>126</v>
      </c>
    </row>
    <row r="92" spans="1:4" x14ac:dyDescent="0.35">
      <c r="A92" s="4">
        <v>45946</v>
      </c>
      <c r="B92" s="1" t="s">
        <v>29</v>
      </c>
      <c r="C92" s="7">
        <v>9900</v>
      </c>
      <c r="D92" s="1" t="s">
        <v>127</v>
      </c>
    </row>
    <row r="93" spans="1:4" x14ac:dyDescent="0.35">
      <c r="A93" s="4">
        <v>45947</v>
      </c>
      <c r="B93" s="1" t="s">
        <v>27</v>
      </c>
      <c r="C93" s="7">
        <v>37800</v>
      </c>
      <c r="D93" s="1" t="s">
        <v>63</v>
      </c>
    </row>
    <row r="94" spans="1:4" x14ac:dyDescent="0.35">
      <c r="A94" s="4">
        <v>45947</v>
      </c>
      <c r="B94" s="1" t="s">
        <v>29</v>
      </c>
      <c r="C94" s="7">
        <v>8800</v>
      </c>
      <c r="D94" s="1" t="s">
        <v>129</v>
      </c>
    </row>
    <row r="95" spans="1:4" x14ac:dyDescent="0.35">
      <c r="A95" s="4">
        <v>45947</v>
      </c>
      <c r="B95" s="1" t="s">
        <v>26</v>
      </c>
      <c r="C95" s="7">
        <v>100000</v>
      </c>
      <c r="D95" s="1" t="s">
        <v>130</v>
      </c>
    </row>
    <row r="96" spans="1:4" x14ac:dyDescent="0.35">
      <c r="A96" s="4">
        <v>45947</v>
      </c>
      <c r="B96" s="1" t="s">
        <v>28</v>
      </c>
      <c r="C96" s="7">
        <v>15000</v>
      </c>
      <c r="D96" s="1" t="s">
        <v>131</v>
      </c>
    </row>
    <row r="97" spans="1:8" x14ac:dyDescent="0.35">
      <c r="A97" s="4">
        <v>45947</v>
      </c>
      <c r="B97" s="1" t="s">
        <v>29</v>
      </c>
      <c r="C97" s="7">
        <v>300</v>
      </c>
      <c r="D97" s="1" t="s">
        <v>132</v>
      </c>
    </row>
    <row r="98" spans="1:8" x14ac:dyDescent="0.35">
      <c r="A98" s="4">
        <v>45947</v>
      </c>
      <c r="B98" s="1" t="s">
        <v>35</v>
      </c>
      <c r="C98" s="7">
        <v>110</v>
      </c>
      <c r="D98" s="1" t="s">
        <v>133</v>
      </c>
    </row>
    <row r="99" spans="1:8" x14ac:dyDescent="0.35">
      <c r="A99" s="4">
        <v>45950</v>
      </c>
      <c r="B99" s="1" t="s">
        <v>5</v>
      </c>
      <c r="C99" s="7">
        <v>500</v>
      </c>
      <c r="D99" s="1" t="s">
        <v>134</v>
      </c>
    </row>
    <row r="100" spans="1:8" x14ac:dyDescent="0.35">
      <c r="A100" s="4">
        <v>45953</v>
      </c>
      <c r="B100" s="1" t="s">
        <v>27</v>
      </c>
      <c r="C100" s="7">
        <v>500</v>
      </c>
      <c r="D100" s="1" t="s">
        <v>135</v>
      </c>
      <c r="H100" s="8"/>
    </row>
    <row r="101" spans="1:8" x14ac:dyDescent="0.35">
      <c r="A101" s="4">
        <v>45955</v>
      </c>
      <c r="B101" s="1" t="s">
        <v>27</v>
      </c>
      <c r="C101" s="7">
        <v>14700</v>
      </c>
      <c r="D101" s="1" t="s">
        <v>101</v>
      </c>
    </row>
    <row r="102" spans="1:8" x14ac:dyDescent="0.35">
      <c r="A102" s="4">
        <v>45955</v>
      </c>
      <c r="B102" s="1" t="s">
        <v>35</v>
      </c>
      <c r="C102" s="7">
        <v>1400</v>
      </c>
      <c r="D102" s="1" t="s">
        <v>136</v>
      </c>
    </row>
    <row r="103" spans="1:8" x14ac:dyDescent="0.35">
      <c r="A103" s="4">
        <v>45955</v>
      </c>
      <c r="B103" s="1" t="s">
        <v>26</v>
      </c>
      <c r="C103" s="7">
        <v>136000</v>
      </c>
      <c r="D103" s="1" t="s">
        <v>137</v>
      </c>
    </row>
    <row r="104" spans="1:8" x14ac:dyDescent="0.35">
      <c r="A104" s="4">
        <v>45955</v>
      </c>
      <c r="B104" s="1" t="s">
        <v>26</v>
      </c>
      <c r="C104" s="7">
        <v>17700</v>
      </c>
      <c r="D104" s="1" t="s">
        <v>138</v>
      </c>
    </row>
    <row r="105" spans="1:8" x14ac:dyDescent="0.35">
      <c r="A105" s="4">
        <v>45955</v>
      </c>
      <c r="B105" s="1" t="s">
        <v>26</v>
      </c>
      <c r="C105" s="7">
        <v>8000</v>
      </c>
      <c r="D105" s="1" t="s">
        <v>139</v>
      </c>
    </row>
    <row r="106" spans="1:8" x14ac:dyDescent="0.35">
      <c r="A106" s="4">
        <v>45958</v>
      </c>
      <c r="B106" s="1" t="s">
        <v>84</v>
      </c>
      <c r="C106" s="7">
        <v>2000</v>
      </c>
      <c r="D106" s="1" t="s">
        <v>140</v>
      </c>
    </row>
    <row r="107" spans="1:8" x14ac:dyDescent="0.35">
      <c r="A107" s="4">
        <v>45959</v>
      </c>
      <c r="B107" s="1" t="s">
        <v>27</v>
      </c>
      <c r="C107" s="7">
        <v>3000</v>
      </c>
      <c r="D107" s="1" t="s">
        <v>112</v>
      </c>
    </row>
    <row r="108" spans="1:8" x14ac:dyDescent="0.35">
      <c r="A108" s="4">
        <v>45959</v>
      </c>
      <c r="B108" s="1" t="s">
        <v>39</v>
      </c>
      <c r="C108" s="7">
        <v>600</v>
      </c>
      <c r="D108" s="1" t="s">
        <v>216</v>
      </c>
    </row>
    <row r="109" spans="1:8" x14ac:dyDescent="0.35">
      <c r="A109" s="4">
        <v>45960</v>
      </c>
      <c r="B109" s="1" t="s">
        <v>25</v>
      </c>
      <c r="C109" s="7">
        <v>600</v>
      </c>
      <c r="D109" s="1" t="s">
        <v>142</v>
      </c>
    </row>
    <row r="110" spans="1:8" x14ac:dyDescent="0.35">
      <c r="A110" s="4">
        <v>45961</v>
      </c>
      <c r="B110" s="1" t="s">
        <v>84</v>
      </c>
      <c r="C110" s="7">
        <v>2000</v>
      </c>
      <c r="D110" s="1" t="s">
        <v>140</v>
      </c>
    </row>
    <row r="111" spans="1:8" x14ac:dyDescent="0.35">
      <c r="A111" s="4">
        <v>45961</v>
      </c>
      <c r="B111" s="1" t="s">
        <v>35</v>
      </c>
      <c r="C111" s="7">
        <v>100</v>
      </c>
      <c r="D111" s="1" t="s">
        <v>133</v>
      </c>
    </row>
    <row r="112" spans="1:8" x14ac:dyDescent="0.35">
      <c r="A112" s="4">
        <v>45961</v>
      </c>
      <c r="B112" s="1" t="s">
        <v>5</v>
      </c>
      <c r="C112" s="7">
        <v>250</v>
      </c>
      <c r="D112" s="1" t="s">
        <v>143</v>
      </c>
    </row>
    <row r="113" spans="1:9" x14ac:dyDescent="0.35">
      <c r="A113" s="21">
        <v>45961</v>
      </c>
      <c r="B113" s="22" t="s">
        <v>125</v>
      </c>
      <c r="C113" s="23">
        <v>700</v>
      </c>
      <c r="D113" s="22" t="s">
        <v>144</v>
      </c>
    </row>
    <row r="114" spans="1:9" x14ac:dyDescent="0.35">
      <c r="A114" s="4">
        <v>45961</v>
      </c>
      <c r="B114" s="1" t="s">
        <v>40</v>
      </c>
      <c r="C114" s="7">
        <v>1300</v>
      </c>
      <c r="D114" s="1" t="s">
        <v>145</v>
      </c>
    </row>
    <row r="115" spans="1:9" x14ac:dyDescent="0.35">
      <c r="A115" s="4">
        <v>45962</v>
      </c>
      <c r="B115" s="1" t="s">
        <v>5</v>
      </c>
      <c r="C115" s="7">
        <v>3000</v>
      </c>
      <c r="D115" s="1" t="s">
        <v>146</v>
      </c>
      <c r="I115" s="8"/>
    </row>
    <row r="116" spans="1:9" x14ac:dyDescent="0.35">
      <c r="A116" s="4">
        <v>45962</v>
      </c>
      <c r="B116" s="1" t="s">
        <v>25</v>
      </c>
      <c r="C116" s="7">
        <v>5000</v>
      </c>
      <c r="D116" s="1" t="s">
        <v>147</v>
      </c>
    </row>
    <row r="117" spans="1:9" x14ac:dyDescent="0.35">
      <c r="A117" s="4">
        <v>45962</v>
      </c>
      <c r="B117" s="1" t="s">
        <v>27</v>
      </c>
      <c r="C117" s="7">
        <v>26200</v>
      </c>
      <c r="D117" s="1" t="s">
        <v>148</v>
      </c>
    </row>
    <row r="118" spans="1:9" x14ac:dyDescent="0.35">
      <c r="A118" s="4">
        <v>45962</v>
      </c>
      <c r="B118" s="1" t="s">
        <v>29</v>
      </c>
      <c r="C118" s="7">
        <v>6000</v>
      </c>
      <c r="D118" s="1" t="s">
        <v>129</v>
      </c>
    </row>
    <row r="119" spans="1:9" x14ac:dyDescent="0.35">
      <c r="A119" s="4">
        <v>45964</v>
      </c>
      <c r="B119" s="1" t="s">
        <v>35</v>
      </c>
      <c r="C119" s="7">
        <v>800</v>
      </c>
      <c r="D119" s="1" t="s">
        <v>149</v>
      </c>
      <c r="I119" s="8"/>
    </row>
    <row r="120" spans="1:9" x14ac:dyDescent="0.35">
      <c r="A120" s="4">
        <v>45964</v>
      </c>
      <c r="B120" s="1" t="s">
        <v>35</v>
      </c>
      <c r="C120" s="7">
        <v>80</v>
      </c>
      <c r="D120" s="1" t="s">
        <v>150</v>
      </c>
    </row>
    <row r="121" spans="1:9" x14ac:dyDescent="0.35">
      <c r="A121" s="4">
        <v>45964</v>
      </c>
      <c r="B121" s="1" t="s">
        <v>27</v>
      </c>
      <c r="C121" s="7">
        <v>100</v>
      </c>
      <c r="D121" s="1" t="s">
        <v>151</v>
      </c>
    </row>
    <row r="122" spans="1:9" x14ac:dyDescent="0.35">
      <c r="A122" s="4">
        <v>45965</v>
      </c>
      <c r="B122" s="1" t="s">
        <v>110</v>
      </c>
      <c r="C122" s="7">
        <v>60000</v>
      </c>
      <c r="D122" s="1" t="s">
        <v>133</v>
      </c>
    </row>
    <row r="123" spans="1:9" x14ac:dyDescent="0.35">
      <c r="A123" s="4">
        <v>45966</v>
      </c>
      <c r="B123" s="1" t="s">
        <v>27</v>
      </c>
      <c r="C123" s="7">
        <v>4000</v>
      </c>
      <c r="D123" s="1" t="s">
        <v>153</v>
      </c>
    </row>
    <row r="124" spans="1:9" x14ac:dyDescent="0.35">
      <c r="A124" s="4">
        <v>45966</v>
      </c>
      <c r="B124" s="1" t="s">
        <v>35</v>
      </c>
      <c r="C124" s="7">
        <v>80</v>
      </c>
      <c r="D124" s="1" t="s">
        <v>133</v>
      </c>
    </row>
    <row r="125" spans="1:9" x14ac:dyDescent="0.35">
      <c r="A125" s="4">
        <v>45967</v>
      </c>
      <c r="B125" s="1" t="s">
        <v>35</v>
      </c>
      <c r="C125" s="7">
        <v>120</v>
      </c>
      <c r="D125" s="1" t="s">
        <v>133</v>
      </c>
    </row>
    <row r="126" spans="1:9" x14ac:dyDescent="0.35">
      <c r="A126" s="4">
        <v>45969</v>
      </c>
      <c r="B126" s="1" t="s">
        <v>27</v>
      </c>
      <c r="C126" s="7">
        <v>25100</v>
      </c>
      <c r="D126" s="1" t="s">
        <v>148</v>
      </c>
    </row>
    <row r="127" spans="1:9" x14ac:dyDescent="0.35">
      <c r="A127" s="4">
        <v>45969</v>
      </c>
      <c r="B127" s="1" t="s">
        <v>29</v>
      </c>
      <c r="C127" s="7">
        <v>10000</v>
      </c>
      <c r="D127" s="1" t="s">
        <v>129</v>
      </c>
    </row>
    <row r="128" spans="1:9" x14ac:dyDescent="0.35">
      <c r="A128" s="24">
        <v>45971</v>
      </c>
      <c r="B128" s="25" t="s">
        <v>35</v>
      </c>
      <c r="C128" s="26">
        <v>800</v>
      </c>
      <c r="D128" s="25" t="s">
        <v>154</v>
      </c>
    </row>
    <row r="129" spans="1:9" x14ac:dyDescent="0.35">
      <c r="A129" s="4">
        <v>45971</v>
      </c>
      <c r="B129" s="1" t="s">
        <v>35</v>
      </c>
      <c r="C129" s="7">
        <v>80</v>
      </c>
      <c r="D129" s="1" t="s">
        <v>133</v>
      </c>
    </row>
    <row r="130" spans="1:9" x14ac:dyDescent="0.35">
      <c r="A130" s="4">
        <v>45972</v>
      </c>
      <c r="B130" s="1" t="s">
        <v>40</v>
      </c>
      <c r="C130" s="7">
        <v>2000</v>
      </c>
      <c r="D130" s="1" t="s">
        <v>155</v>
      </c>
    </row>
    <row r="131" spans="1:9" x14ac:dyDescent="0.35">
      <c r="A131" s="4">
        <v>45972</v>
      </c>
      <c r="B131" s="1" t="s">
        <v>25</v>
      </c>
      <c r="C131" s="7">
        <v>1350</v>
      </c>
      <c r="D131" s="1" t="s">
        <v>156</v>
      </c>
      <c r="F131" s="8"/>
    </row>
    <row r="132" spans="1:9" x14ac:dyDescent="0.35">
      <c r="A132" s="4">
        <v>45972</v>
      </c>
      <c r="B132" s="1" t="s">
        <v>29</v>
      </c>
      <c r="C132" s="7">
        <v>1000</v>
      </c>
      <c r="D132" s="1" t="s">
        <v>157</v>
      </c>
    </row>
    <row r="133" spans="1:9" x14ac:dyDescent="0.35">
      <c r="A133" s="4">
        <v>45973</v>
      </c>
      <c r="B133" s="1" t="s">
        <v>29</v>
      </c>
      <c r="C133" s="7">
        <v>7000</v>
      </c>
      <c r="D133" s="1" t="s">
        <v>158</v>
      </c>
      <c r="H133" s="8"/>
      <c r="I133" s="8"/>
    </row>
    <row r="134" spans="1:9" x14ac:dyDescent="0.35">
      <c r="A134" s="4">
        <v>45973</v>
      </c>
      <c r="B134" s="1" t="s">
        <v>84</v>
      </c>
      <c r="C134" s="7">
        <v>1000</v>
      </c>
      <c r="D134" s="1" t="s">
        <v>140</v>
      </c>
      <c r="H134" s="8"/>
    </row>
    <row r="135" spans="1:9" x14ac:dyDescent="0.35">
      <c r="A135" s="4">
        <v>45976</v>
      </c>
      <c r="B135" s="1" t="s">
        <v>29</v>
      </c>
      <c r="C135" s="7">
        <v>10750</v>
      </c>
      <c r="D135" s="1" t="s">
        <v>159</v>
      </c>
    </row>
    <row r="136" spans="1:9" x14ac:dyDescent="0.35">
      <c r="A136" s="4">
        <v>45976</v>
      </c>
      <c r="B136" s="1" t="s">
        <v>27</v>
      </c>
      <c r="C136" s="7">
        <v>5400</v>
      </c>
      <c r="D136" s="1" t="s">
        <v>160</v>
      </c>
      <c r="F136" s="8"/>
    </row>
    <row r="137" spans="1:9" x14ac:dyDescent="0.35">
      <c r="A137" s="4">
        <v>45976</v>
      </c>
      <c r="B137" s="1" t="s">
        <v>26</v>
      </c>
      <c r="C137" s="7">
        <v>16370</v>
      </c>
      <c r="D137" s="1" t="s">
        <v>162</v>
      </c>
      <c r="F137" s="8"/>
      <c r="H137" s="8"/>
    </row>
    <row r="138" spans="1:9" x14ac:dyDescent="0.35">
      <c r="A138" s="4">
        <v>45977</v>
      </c>
      <c r="B138" s="1" t="s">
        <v>39</v>
      </c>
      <c r="C138" s="7">
        <v>290</v>
      </c>
      <c r="D138" s="1" t="s">
        <v>161</v>
      </c>
    </row>
    <row r="139" spans="1:9" x14ac:dyDescent="0.35">
      <c r="A139" s="21">
        <v>45978</v>
      </c>
      <c r="B139" s="22" t="s">
        <v>125</v>
      </c>
      <c r="C139" s="23">
        <v>700</v>
      </c>
      <c r="D139" s="22" t="s">
        <v>144</v>
      </c>
    </row>
    <row r="140" spans="1:9" x14ac:dyDescent="0.35">
      <c r="A140" s="4">
        <v>45978</v>
      </c>
      <c r="B140" s="1" t="s">
        <v>25</v>
      </c>
      <c r="C140" s="7">
        <v>1150</v>
      </c>
      <c r="D140" s="1" t="s">
        <v>163</v>
      </c>
    </row>
    <row r="141" spans="1:9" x14ac:dyDescent="0.35">
      <c r="A141" s="4">
        <v>45978</v>
      </c>
      <c r="B141" s="1" t="s">
        <v>29</v>
      </c>
      <c r="C141" s="7">
        <v>275</v>
      </c>
      <c r="D141" s="1" t="s">
        <v>164</v>
      </c>
      <c r="I141" s="8"/>
    </row>
    <row r="142" spans="1:9" x14ac:dyDescent="0.35">
      <c r="A142" s="4">
        <v>45978</v>
      </c>
      <c r="B142" s="1" t="s">
        <v>35</v>
      </c>
      <c r="C142" s="7">
        <v>350</v>
      </c>
      <c r="D142" s="1" t="s">
        <v>136</v>
      </c>
    </row>
    <row r="143" spans="1:9" x14ac:dyDescent="0.35">
      <c r="A143" s="4">
        <v>45978</v>
      </c>
      <c r="B143" s="1" t="s">
        <v>39</v>
      </c>
      <c r="C143" s="7">
        <v>270</v>
      </c>
      <c r="D143" s="1" t="s">
        <v>165</v>
      </c>
    </row>
    <row r="144" spans="1:9" x14ac:dyDescent="0.35">
      <c r="A144" s="4">
        <v>45980</v>
      </c>
      <c r="B144" s="1" t="s">
        <v>37</v>
      </c>
      <c r="C144" s="7">
        <v>20000</v>
      </c>
      <c r="D144" s="1" t="s">
        <v>166</v>
      </c>
    </row>
    <row r="145" spans="1:8" x14ac:dyDescent="0.35">
      <c r="A145" s="4">
        <v>45980</v>
      </c>
      <c r="B145" s="1" t="s">
        <v>29</v>
      </c>
      <c r="C145" s="7">
        <v>7500</v>
      </c>
      <c r="D145" s="1" t="s">
        <v>158</v>
      </c>
    </row>
    <row r="146" spans="1:8" x14ac:dyDescent="0.35">
      <c r="A146" s="4">
        <v>45982</v>
      </c>
      <c r="B146" s="1" t="s">
        <v>25</v>
      </c>
      <c r="C146" s="7">
        <v>280</v>
      </c>
      <c r="D146" s="1" t="s">
        <v>167</v>
      </c>
    </row>
    <row r="147" spans="1:8" x14ac:dyDescent="0.35">
      <c r="A147" s="4">
        <v>45983</v>
      </c>
      <c r="B147" s="1" t="s">
        <v>29</v>
      </c>
      <c r="C147" s="7">
        <v>38650</v>
      </c>
      <c r="D147" s="1" t="s">
        <v>168</v>
      </c>
    </row>
    <row r="148" spans="1:8" x14ac:dyDescent="0.35">
      <c r="A148" s="4">
        <v>45983</v>
      </c>
      <c r="B148" s="1" t="s">
        <v>29</v>
      </c>
      <c r="C148" s="7">
        <v>1300</v>
      </c>
      <c r="D148" s="1" t="s">
        <v>169</v>
      </c>
    </row>
    <row r="149" spans="1:8" x14ac:dyDescent="0.35">
      <c r="A149" s="4">
        <v>45983</v>
      </c>
      <c r="B149" s="1" t="s">
        <v>26</v>
      </c>
      <c r="C149" s="7">
        <v>50000</v>
      </c>
      <c r="D149" s="1" t="s">
        <v>170</v>
      </c>
    </row>
    <row r="150" spans="1:8" x14ac:dyDescent="0.35">
      <c r="A150" s="4">
        <v>45983</v>
      </c>
      <c r="B150" s="1" t="s">
        <v>26</v>
      </c>
      <c r="C150" s="7">
        <v>50000</v>
      </c>
      <c r="D150" s="1" t="s">
        <v>130</v>
      </c>
    </row>
    <row r="151" spans="1:8" x14ac:dyDescent="0.35">
      <c r="A151" s="4">
        <v>45983</v>
      </c>
      <c r="B151" s="1" t="s">
        <v>29</v>
      </c>
      <c r="C151" s="7">
        <v>200</v>
      </c>
      <c r="D151" s="1" t="s">
        <v>171</v>
      </c>
    </row>
    <row r="152" spans="1:8" x14ac:dyDescent="0.35">
      <c r="A152" s="4">
        <v>45984</v>
      </c>
      <c r="B152" s="1" t="s">
        <v>39</v>
      </c>
      <c r="C152" s="7">
        <v>800</v>
      </c>
      <c r="D152" s="1" t="s">
        <v>172</v>
      </c>
    </row>
    <row r="153" spans="1:8" x14ac:dyDescent="0.35">
      <c r="A153" s="4">
        <v>45985</v>
      </c>
      <c r="B153" s="1" t="s">
        <v>35</v>
      </c>
      <c r="C153" s="7">
        <v>900</v>
      </c>
      <c r="D153" s="1" t="s">
        <v>149</v>
      </c>
    </row>
    <row r="154" spans="1:8" x14ac:dyDescent="0.35">
      <c r="A154" s="4">
        <v>45986</v>
      </c>
      <c r="B154" s="1" t="s">
        <v>40</v>
      </c>
      <c r="C154" s="7">
        <v>1400</v>
      </c>
      <c r="D154" s="1" t="s">
        <v>173</v>
      </c>
    </row>
    <row r="155" spans="1:8" x14ac:dyDescent="0.35">
      <c r="A155" s="4">
        <v>45987</v>
      </c>
      <c r="B155" s="1" t="s">
        <v>5</v>
      </c>
      <c r="C155" s="7">
        <v>560</v>
      </c>
      <c r="D155" s="1" t="s">
        <v>174</v>
      </c>
      <c r="H155" s="8"/>
    </row>
    <row r="156" spans="1:8" x14ac:dyDescent="0.35">
      <c r="A156" s="4">
        <v>45987</v>
      </c>
      <c r="B156" s="1" t="s">
        <v>35</v>
      </c>
      <c r="C156" s="7">
        <v>95</v>
      </c>
      <c r="D156" s="1" t="s">
        <v>133</v>
      </c>
      <c r="H156" s="8"/>
    </row>
    <row r="157" spans="1:8" x14ac:dyDescent="0.35">
      <c r="A157" s="4">
        <v>45990</v>
      </c>
      <c r="B157" s="1" t="s">
        <v>29</v>
      </c>
      <c r="C157" s="7">
        <v>7950</v>
      </c>
      <c r="D157" s="1" t="s">
        <v>175</v>
      </c>
      <c r="H157" s="8"/>
    </row>
    <row r="158" spans="1:8" x14ac:dyDescent="0.35">
      <c r="A158" s="4">
        <v>45990</v>
      </c>
      <c r="B158" s="1" t="s">
        <v>27</v>
      </c>
      <c r="C158" s="7">
        <v>9900</v>
      </c>
      <c r="D158" s="1" t="s">
        <v>160</v>
      </c>
      <c r="H158" s="8"/>
    </row>
    <row r="159" spans="1:8" x14ac:dyDescent="0.35">
      <c r="A159" s="4">
        <v>45990</v>
      </c>
      <c r="B159" s="1" t="s">
        <v>30</v>
      </c>
      <c r="C159" s="7">
        <v>4000</v>
      </c>
      <c r="D159" s="1" t="s">
        <v>176</v>
      </c>
      <c r="H159" s="8"/>
    </row>
    <row r="160" spans="1:8" x14ac:dyDescent="0.35">
      <c r="A160" s="4">
        <v>45990</v>
      </c>
      <c r="B160" s="1" t="s">
        <v>28</v>
      </c>
      <c r="C160" s="7">
        <v>15000</v>
      </c>
      <c r="D160" s="1" t="s">
        <v>177</v>
      </c>
      <c r="H160" s="8"/>
    </row>
    <row r="161" spans="1:8" x14ac:dyDescent="0.35">
      <c r="A161" s="4">
        <v>45990</v>
      </c>
      <c r="B161" s="1" t="s">
        <v>26</v>
      </c>
      <c r="C161" s="7">
        <v>50000</v>
      </c>
      <c r="D161" s="1" t="s">
        <v>130</v>
      </c>
    </row>
    <row r="162" spans="1:8" x14ac:dyDescent="0.35">
      <c r="A162" s="4">
        <v>45990</v>
      </c>
      <c r="B162" s="1" t="s">
        <v>26</v>
      </c>
      <c r="C162" s="7">
        <v>50000</v>
      </c>
      <c r="D162" s="1" t="s">
        <v>178</v>
      </c>
    </row>
    <row r="163" spans="1:8" x14ac:dyDescent="0.35">
      <c r="A163" s="4">
        <v>45990</v>
      </c>
      <c r="B163" s="1" t="s">
        <v>26</v>
      </c>
      <c r="C163" s="7">
        <v>50000</v>
      </c>
      <c r="D163" s="1" t="s">
        <v>179</v>
      </c>
    </row>
    <row r="164" spans="1:8" x14ac:dyDescent="0.35">
      <c r="A164" s="4">
        <v>45990</v>
      </c>
      <c r="B164" s="1" t="s">
        <v>39</v>
      </c>
      <c r="C164" s="7">
        <v>200</v>
      </c>
      <c r="D164" s="1" t="s">
        <v>66</v>
      </c>
    </row>
    <row r="165" spans="1:8" x14ac:dyDescent="0.35">
      <c r="A165" s="4">
        <v>45990</v>
      </c>
      <c r="B165" s="1" t="s">
        <v>84</v>
      </c>
      <c r="C165" s="7">
        <v>2000</v>
      </c>
      <c r="D165" s="1" t="s">
        <v>140</v>
      </c>
    </row>
    <row r="166" spans="1:8" x14ac:dyDescent="0.35">
      <c r="A166" s="4">
        <v>45990</v>
      </c>
      <c r="B166" s="1" t="s">
        <v>29</v>
      </c>
      <c r="C166" s="7">
        <v>150</v>
      </c>
      <c r="D166" s="1" t="s">
        <v>70</v>
      </c>
    </row>
    <row r="167" spans="1:8" x14ac:dyDescent="0.35">
      <c r="A167" s="4">
        <v>45990</v>
      </c>
      <c r="B167" s="1" t="s">
        <v>29</v>
      </c>
      <c r="C167" s="7">
        <v>800</v>
      </c>
      <c r="D167" s="1" t="s">
        <v>180</v>
      </c>
    </row>
    <row r="168" spans="1:8" x14ac:dyDescent="0.35">
      <c r="A168" s="4">
        <v>45993</v>
      </c>
      <c r="B168" s="1" t="s">
        <v>35</v>
      </c>
      <c r="C168" s="7">
        <v>650</v>
      </c>
      <c r="D168" s="1" t="s">
        <v>182</v>
      </c>
    </row>
    <row r="169" spans="1:8" x14ac:dyDescent="0.35">
      <c r="A169" s="4">
        <v>45995</v>
      </c>
      <c r="B169" s="1" t="s">
        <v>110</v>
      </c>
      <c r="C169" s="7">
        <v>60000</v>
      </c>
      <c r="D169" s="1" t="s">
        <v>133</v>
      </c>
      <c r="E169" s="27" t="s">
        <v>183</v>
      </c>
    </row>
    <row r="170" spans="1:8" x14ac:dyDescent="0.35">
      <c r="A170" s="4">
        <v>46001</v>
      </c>
      <c r="B170" s="1" t="s">
        <v>27</v>
      </c>
      <c r="C170" s="7">
        <v>2000</v>
      </c>
      <c r="D170" s="1" t="s">
        <v>184</v>
      </c>
    </row>
    <row r="171" spans="1:8" x14ac:dyDescent="0.35">
      <c r="A171" s="4">
        <v>46001</v>
      </c>
      <c r="B171" s="1" t="s">
        <v>40</v>
      </c>
      <c r="C171" s="7">
        <v>1050</v>
      </c>
      <c r="D171" s="1" t="s">
        <v>185</v>
      </c>
    </row>
    <row r="172" spans="1:8" x14ac:dyDescent="0.35">
      <c r="A172" s="4">
        <v>46002</v>
      </c>
      <c r="B172" s="1" t="s">
        <v>37</v>
      </c>
      <c r="C172" s="7">
        <v>120</v>
      </c>
      <c r="D172" s="1" t="s">
        <v>186</v>
      </c>
    </row>
    <row r="173" spans="1:8" x14ac:dyDescent="0.35">
      <c r="A173" s="21">
        <v>46003</v>
      </c>
      <c r="B173" s="22" t="s">
        <v>125</v>
      </c>
      <c r="C173" s="23">
        <v>700</v>
      </c>
      <c r="D173" s="22" t="s">
        <v>187</v>
      </c>
      <c r="H173" s="8"/>
    </row>
    <row r="174" spans="1:8" x14ac:dyDescent="0.35">
      <c r="A174" s="4">
        <v>46003</v>
      </c>
      <c r="B174" s="1" t="s">
        <v>25</v>
      </c>
      <c r="C174" s="7">
        <v>280</v>
      </c>
      <c r="D174" s="1" t="s">
        <v>188</v>
      </c>
    </row>
    <row r="175" spans="1:8" x14ac:dyDescent="0.35">
      <c r="A175" s="4">
        <v>46003</v>
      </c>
      <c r="B175" s="1" t="s">
        <v>40</v>
      </c>
      <c r="C175" s="7">
        <v>390</v>
      </c>
      <c r="D175" s="1" t="s">
        <v>189</v>
      </c>
    </row>
    <row r="176" spans="1:8" x14ac:dyDescent="0.35">
      <c r="A176" s="4">
        <v>46004</v>
      </c>
      <c r="B176" s="1" t="s">
        <v>27</v>
      </c>
      <c r="C176" s="7">
        <v>6600</v>
      </c>
      <c r="D176" s="1" t="s">
        <v>190</v>
      </c>
    </row>
    <row r="177" spans="1:5" x14ac:dyDescent="0.35">
      <c r="A177" s="4">
        <v>46004</v>
      </c>
      <c r="B177" s="1" t="s">
        <v>5</v>
      </c>
      <c r="C177" s="7">
        <v>500</v>
      </c>
      <c r="D177" s="1" t="s">
        <v>191</v>
      </c>
    </row>
    <row r="178" spans="1:5" x14ac:dyDescent="0.35">
      <c r="A178" s="4">
        <v>46004</v>
      </c>
      <c r="B178" s="1" t="s">
        <v>29</v>
      </c>
      <c r="C178" s="7">
        <v>16800</v>
      </c>
      <c r="D178" s="1" t="s">
        <v>192</v>
      </c>
    </row>
    <row r="179" spans="1:5" x14ac:dyDescent="0.35">
      <c r="A179" s="4">
        <v>46004</v>
      </c>
      <c r="B179" s="1" t="s">
        <v>29</v>
      </c>
      <c r="C179" s="7">
        <v>400</v>
      </c>
      <c r="D179" s="1" t="s">
        <v>193</v>
      </c>
    </row>
    <row r="180" spans="1:5" x14ac:dyDescent="0.35">
      <c r="A180" s="4">
        <v>46004</v>
      </c>
      <c r="B180" s="1" t="s">
        <v>26</v>
      </c>
      <c r="C180" s="7">
        <v>26000</v>
      </c>
      <c r="D180" s="1" t="s">
        <v>178</v>
      </c>
    </row>
    <row r="181" spans="1:5" x14ac:dyDescent="0.35">
      <c r="A181" s="4">
        <v>46004</v>
      </c>
      <c r="B181" s="1" t="s">
        <v>5</v>
      </c>
      <c r="C181" s="7">
        <v>100</v>
      </c>
      <c r="D181" s="1" t="s">
        <v>194</v>
      </c>
    </row>
    <row r="182" spans="1:5" x14ac:dyDescent="0.35">
      <c r="A182" s="4">
        <v>46007</v>
      </c>
      <c r="B182" s="1" t="s">
        <v>35</v>
      </c>
      <c r="C182" s="7">
        <v>500</v>
      </c>
      <c r="D182" s="1" t="s">
        <v>154</v>
      </c>
    </row>
    <row r="183" spans="1:5" x14ac:dyDescent="0.35">
      <c r="A183" s="4">
        <v>46008</v>
      </c>
      <c r="B183" s="1" t="s">
        <v>27</v>
      </c>
      <c r="C183" s="7">
        <v>5000</v>
      </c>
      <c r="D183" s="1" t="s">
        <v>195</v>
      </c>
      <c r="E183" t="s">
        <v>183</v>
      </c>
    </row>
    <row r="184" spans="1:5" x14ac:dyDescent="0.35">
      <c r="A184" s="4">
        <v>46011</v>
      </c>
      <c r="B184" s="1" t="s">
        <v>27</v>
      </c>
      <c r="C184" s="7">
        <v>32200</v>
      </c>
      <c r="D184" s="1" t="s">
        <v>148</v>
      </c>
    </row>
    <row r="185" spans="1:5" x14ac:dyDescent="0.35">
      <c r="A185" s="4">
        <v>46011</v>
      </c>
      <c r="B185" s="1" t="s">
        <v>29</v>
      </c>
      <c r="C185" s="7">
        <v>6600</v>
      </c>
      <c r="D185" s="1" t="s">
        <v>196</v>
      </c>
    </row>
    <row r="186" spans="1:5" x14ac:dyDescent="0.35">
      <c r="A186" s="4">
        <v>46011</v>
      </c>
      <c r="B186" s="1" t="s">
        <v>29</v>
      </c>
      <c r="C186" s="7">
        <v>300</v>
      </c>
      <c r="D186" s="1" t="s">
        <v>197</v>
      </c>
    </row>
    <row r="187" spans="1:5" x14ac:dyDescent="0.35">
      <c r="A187" s="4">
        <v>46011</v>
      </c>
      <c r="B187" s="1" t="s">
        <v>30</v>
      </c>
      <c r="C187" s="7">
        <v>2000</v>
      </c>
      <c r="D187" s="1" t="s">
        <v>198</v>
      </c>
    </row>
    <row r="188" spans="1:5" x14ac:dyDescent="0.35">
      <c r="A188" s="4">
        <v>46011</v>
      </c>
      <c r="B188" s="1" t="s">
        <v>26</v>
      </c>
      <c r="C188" s="7">
        <v>25000</v>
      </c>
      <c r="D188" s="1" t="s">
        <v>199</v>
      </c>
    </row>
    <row r="189" spans="1:5" x14ac:dyDescent="0.35">
      <c r="A189" s="4">
        <v>46011</v>
      </c>
      <c r="B189" s="1" t="s">
        <v>26</v>
      </c>
      <c r="C189" s="7">
        <v>6050</v>
      </c>
      <c r="D189" s="1" t="s">
        <v>200</v>
      </c>
    </row>
    <row r="190" spans="1:5" x14ac:dyDescent="0.35">
      <c r="A190" s="4">
        <v>46013</v>
      </c>
      <c r="B190" s="1" t="s">
        <v>35</v>
      </c>
      <c r="C190" s="7">
        <v>800</v>
      </c>
      <c r="D190" s="1" t="s">
        <v>92</v>
      </c>
    </row>
    <row r="191" spans="1:5" x14ac:dyDescent="0.35">
      <c r="A191" s="4">
        <v>46013</v>
      </c>
      <c r="B191" s="1" t="s">
        <v>35</v>
      </c>
      <c r="C191" s="7">
        <v>80</v>
      </c>
      <c r="D191" s="1" t="s">
        <v>133</v>
      </c>
    </row>
    <row r="192" spans="1:5" x14ac:dyDescent="0.35">
      <c r="A192" s="4">
        <v>46015</v>
      </c>
      <c r="B192" s="1" t="s">
        <v>26</v>
      </c>
      <c r="C192" s="7">
        <v>60000</v>
      </c>
      <c r="D192" s="1" t="s">
        <v>201</v>
      </c>
    </row>
    <row r="193" spans="1:4" x14ac:dyDescent="0.35">
      <c r="A193" s="4">
        <v>46015</v>
      </c>
      <c r="B193" s="1" t="s">
        <v>27</v>
      </c>
      <c r="C193" s="7">
        <v>3000</v>
      </c>
      <c r="D193" s="1" t="s">
        <v>202</v>
      </c>
    </row>
    <row r="194" spans="1:4" x14ac:dyDescent="0.35">
      <c r="A194" s="4">
        <v>46017</v>
      </c>
      <c r="B194" s="1" t="s">
        <v>35</v>
      </c>
      <c r="C194" s="7">
        <v>90</v>
      </c>
      <c r="D194" s="1" t="s">
        <v>47</v>
      </c>
    </row>
    <row r="195" spans="1:4" x14ac:dyDescent="0.35">
      <c r="A195" s="4">
        <v>46017</v>
      </c>
      <c r="B195" s="1" t="s">
        <v>40</v>
      </c>
      <c r="C195" s="7">
        <v>1000</v>
      </c>
      <c r="D195" s="1" t="s">
        <v>203</v>
      </c>
    </row>
    <row r="196" spans="1:4" x14ac:dyDescent="0.35">
      <c r="A196" s="4">
        <v>46018</v>
      </c>
      <c r="B196" s="1" t="s">
        <v>125</v>
      </c>
      <c r="C196" s="7">
        <v>700</v>
      </c>
      <c r="D196" s="1" t="s">
        <v>144</v>
      </c>
    </row>
    <row r="197" spans="1:4" x14ac:dyDescent="0.35">
      <c r="A197" s="4">
        <v>46018</v>
      </c>
      <c r="B197" s="1" t="s">
        <v>30</v>
      </c>
      <c r="C197" s="7">
        <v>5000</v>
      </c>
      <c r="D197" s="1" t="s">
        <v>204</v>
      </c>
    </row>
    <row r="198" spans="1:4" x14ac:dyDescent="0.35">
      <c r="A198" s="4">
        <v>46018</v>
      </c>
      <c r="B198" s="1" t="s">
        <v>27</v>
      </c>
      <c r="C198" s="7">
        <v>46000</v>
      </c>
      <c r="D198" s="1" t="s">
        <v>205</v>
      </c>
    </row>
    <row r="199" spans="1:4" x14ac:dyDescent="0.35">
      <c r="A199" s="4">
        <v>46018</v>
      </c>
      <c r="B199" s="1" t="s">
        <v>29</v>
      </c>
      <c r="C199" s="7">
        <v>100</v>
      </c>
      <c r="D199" s="1" t="s">
        <v>109</v>
      </c>
    </row>
    <row r="200" spans="1:4" x14ac:dyDescent="0.35">
      <c r="A200" s="4">
        <v>46018</v>
      </c>
      <c r="B200" s="1" t="s">
        <v>29</v>
      </c>
      <c r="C200" s="7">
        <v>4200</v>
      </c>
      <c r="D200" s="1" t="s">
        <v>102</v>
      </c>
    </row>
    <row r="201" spans="1:4" x14ac:dyDescent="0.35">
      <c r="A201" s="4">
        <v>46018</v>
      </c>
      <c r="B201" s="1" t="s">
        <v>24</v>
      </c>
      <c r="C201" s="7">
        <v>400</v>
      </c>
      <c r="D201" s="1" t="s">
        <v>206</v>
      </c>
    </row>
    <row r="202" spans="1:4" x14ac:dyDescent="0.35">
      <c r="A202" s="4">
        <v>46020</v>
      </c>
      <c r="B202" s="1" t="s">
        <v>26</v>
      </c>
      <c r="C202" s="7">
        <v>15000</v>
      </c>
      <c r="D202" s="1" t="s">
        <v>207</v>
      </c>
    </row>
    <row r="203" spans="1:4" x14ac:dyDescent="0.35">
      <c r="A203" s="4">
        <v>46020</v>
      </c>
      <c r="B203" s="1" t="s">
        <v>84</v>
      </c>
      <c r="C203" s="7">
        <v>2000</v>
      </c>
      <c r="D203" s="1" t="s">
        <v>140</v>
      </c>
    </row>
    <row r="204" spans="1:4" x14ac:dyDescent="0.35">
      <c r="A204" s="4">
        <v>46020</v>
      </c>
      <c r="B204" s="1" t="s">
        <v>35</v>
      </c>
      <c r="C204" s="7">
        <v>1000</v>
      </c>
      <c r="D204" s="1" t="s">
        <v>92</v>
      </c>
    </row>
    <row r="205" spans="1:4" x14ac:dyDescent="0.35">
      <c r="A205" s="4">
        <v>46021</v>
      </c>
      <c r="B205" s="1" t="s">
        <v>209</v>
      </c>
      <c r="C205" s="7">
        <v>20000</v>
      </c>
      <c r="D205" s="1" t="s">
        <v>208</v>
      </c>
    </row>
    <row r="206" spans="1:4" x14ac:dyDescent="0.35">
      <c r="A206" s="4">
        <v>46023</v>
      </c>
      <c r="B206" s="1" t="s">
        <v>35</v>
      </c>
      <c r="C206" s="7">
        <v>130</v>
      </c>
      <c r="D206" s="1" t="s">
        <v>133</v>
      </c>
    </row>
    <row r="207" spans="1:4" x14ac:dyDescent="0.35">
      <c r="A207" s="4">
        <v>46023</v>
      </c>
      <c r="B207" s="1" t="s">
        <v>84</v>
      </c>
      <c r="C207" s="7">
        <v>2000</v>
      </c>
      <c r="D207" s="1" t="s">
        <v>140</v>
      </c>
    </row>
    <row r="208" spans="1:4" x14ac:dyDescent="0.35">
      <c r="A208" s="4">
        <v>46023</v>
      </c>
      <c r="B208" s="1" t="s">
        <v>26</v>
      </c>
      <c r="C208" s="7">
        <v>50000</v>
      </c>
      <c r="D208" s="1" t="s">
        <v>130</v>
      </c>
    </row>
    <row r="209" spans="1:8" x14ac:dyDescent="0.35">
      <c r="A209" s="4">
        <v>46025</v>
      </c>
      <c r="B209" s="1" t="s">
        <v>27</v>
      </c>
      <c r="C209" s="7">
        <v>34800</v>
      </c>
      <c r="D209" s="1" t="s">
        <v>148</v>
      </c>
    </row>
    <row r="210" spans="1:8" x14ac:dyDescent="0.35">
      <c r="A210" s="4">
        <v>46025</v>
      </c>
      <c r="B210" s="1" t="s">
        <v>29</v>
      </c>
      <c r="C210" s="7">
        <v>12600</v>
      </c>
      <c r="D210" s="1" t="s">
        <v>213</v>
      </c>
    </row>
    <row r="211" spans="1:8" x14ac:dyDescent="0.35">
      <c r="A211" s="4">
        <v>46025</v>
      </c>
      <c r="B211" s="1" t="s">
        <v>29</v>
      </c>
      <c r="C211" s="7">
        <v>300</v>
      </c>
      <c r="D211" s="1" t="s">
        <v>193</v>
      </c>
    </row>
    <row r="212" spans="1:8" x14ac:dyDescent="0.35">
      <c r="A212" s="4">
        <v>46025</v>
      </c>
      <c r="B212" s="1" t="s">
        <v>26</v>
      </c>
      <c r="C212" s="7">
        <v>17500</v>
      </c>
      <c r="D212" s="1" t="s">
        <v>214</v>
      </c>
    </row>
    <row r="213" spans="1:8" x14ac:dyDescent="0.35">
      <c r="A213" s="4">
        <v>46025</v>
      </c>
      <c r="B213" s="1" t="s">
        <v>5</v>
      </c>
      <c r="C213" s="7">
        <v>200</v>
      </c>
      <c r="D213" s="1" t="s">
        <v>215</v>
      </c>
    </row>
    <row r="214" spans="1:8" x14ac:dyDescent="0.35">
      <c r="A214" s="4">
        <v>46027</v>
      </c>
      <c r="B214" s="1" t="s">
        <v>110</v>
      </c>
      <c r="C214" s="7">
        <v>100000</v>
      </c>
      <c r="D214" s="1" t="s">
        <v>133</v>
      </c>
    </row>
    <row r="215" spans="1:8" x14ac:dyDescent="0.35">
      <c r="A215" s="4">
        <v>46029</v>
      </c>
      <c r="B215" s="1" t="s">
        <v>35</v>
      </c>
      <c r="C215" s="7">
        <v>500</v>
      </c>
      <c r="D215" s="1" t="s">
        <v>122</v>
      </c>
      <c r="H215" s="8"/>
    </row>
    <row r="216" spans="1:8" x14ac:dyDescent="0.35">
      <c r="A216" s="4">
        <v>46029</v>
      </c>
      <c r="B216" s="1" t="s">
        <v>27</v>
      </c>
      <c r="C216" s="7">
        <v>2000</v>
      </c>
      <c r="D216" s="1" t="s">
        <v>217</v>
      </c>
    </row>
    <row r="217" spans="1:8" x14ac:dyDescent="0.35">
      <c r="A217" s="4">
        <v>46029</v>
      </c>
      <c r="B217" s="1" t="s">
        <v>35</v>
      </c>
      <c r="C217" s="7">
        <v>105</v>
      </c>
      <c r="D217" s="1" t="s">
        <v>133</v>
      </c>
    </row>
    <row r="218" spans="1:8" x14ac:dyDescent="0.35">
      <c r="A218" s="4">
        <v>46030</v>
      </c>
      <c r="B218" s="1" t="s">
        <v>35</v>
      </c>
      <c r="C218" s="7">
        <v>70</v>
      </c>
      <c r="D218" s="1" t="s">
        <v>133</v>
      </c>
    </row>
    <row r="219" spans="1:8" x14ac:dyDescent="0.35">
      <c r="A219" s="4">
        <v>46030</v>
      </c>
      <c r="B219" s="1" t="s">
        <v>40</v>
      </c>
      <c r="C219" s="7">
        <v>1500</v>
      </c>
      <c r="D219" s="1" t="s">
        <v>218</v>
      </c>
    </row>
    <row r="220" spans="1:8" x14ac:dyDescent="0.35">
      <c r="A220" s="4">
        <v>46031</v>
      </c>
      <c r="B220" s="1" t="s">
        <v>219</v>
      </c>
      <c r="C220" s="7">
        <v>5000</v>
      </c>
      <c r="D220" s="1" t="s">
        <v>220</v>
      </c>
    </row>
    <row r="221" spans="1:8" x14ac:dyDescent="0.35">
      <c r="A221" s="4">
        <v>46031</v>
      </c>
      <c r="B221" s="1" t="s">
        <v>25</v>
      </c>
      <c r="C221" s="7">
        <v>880</v>
      </c>
      <c r="D221" s="1" t="s">
        <v>221</v>
      </c>
    </row>
    <row r="222" spans="1:8" x14ac:dyDescent="0.35">
      <c r="A222" s="4">
        <v>46032</v>
      </c>
      <c r="B222" s="1" t="s">
        <v>27</v>
      </c>
      <c r="C222" s="7">
        <v>34000</v>
      </c>
      <c r="D222" s="1" t="s">
        <v>205</v>
      </c>
    </row>
    <row r="223" spans="1:8" x14ac:dyDescent="0.35">
      <c r="A223" s="4">
        <v>46032</v>
      </c>
      <c r="B223" s="1" t="s">
        <v>29</v>
      </c>
      <c r="C223" s="7">
        <v>8300</v>
      </c>
      <c r="D223" s="1" t="s">
        <v>222</v>
      </c>
    </row>
    <row r="224" spans="1:8" x14ac:dyDescent="0.35">
      <c r="A224" s="4">
        <v>46032</v>
      </c>
      <c r="B224" s="1" t="s">
        <v>29</v>
      </c>
      <c r="C224" s="7">
        <v>150</v>
      </c>
      <c r="D224" s="1" t="s">
        <v>70</v>
      </c>
    </row>
    <row r="225" spans="1:4" x14ac:dyDescent="0.35">
      <c r="A225" s="4">
        <v>46032</v>
      </c>
      <c r="B225" s="1" t="s">
        <v>209</v>
      </c>
      <c r="C225" s="7">
        <v>15000</v>
      </c>
      <c r="D225" s="1" t="s">
        <v>223</v>
      </c>
    </row>
    <row r="226" spans="1:4" x14ac:dyDescent="0.35">
      <c r="A226" s="21">
        <v>46032</v>
      </c>
      <c r="B226" s="22" t="s">
        <v>125</v>
      </c>
      <c r="C226" s="23">
        <v>700</v>
      </c>
      <c r="D226" s="22" t="s">
        <v>144</v>
      </c>
    </row>
    <row r="227" spans="1:4" x14ac:dyDescent="0.35">
      <c r="A227" s="4">
        <v>46032</v>
      </c>
      <c r="B227" s="1" t="s">
        <v>26</v>
      </c>
      <c r="C227" s="7">
        <v>16200</v>
      </c>
      <c r="D227" s="1" t="s">
        <v>224</v>
      </c>
    </row>
    <row r="228" spans="1:4" x14ac:dyDescent="0.35">
      <c r="A228" s="4">
        <v>46032</v>
      </c>
      <c r="B228" s="1" t="s">
        <v>35</v>
      </c>
      <c r="C228" s="7">
        <v>750</v>
      </c>
      <c r="D228" s="1" t="s">
        <v>122</v>
      </c>
    </row>
    <row r="229" spans="1:4" x14ac:dyDescent="0.35">
      <c r="A229" s="4">
        <v>46034</v>
      </c>
      <c r="B229" s="1" t="s">
        <v>40</v>
      </c>
      <c r="C229" s="7">
        <v>1100</v>
      </c>
      <c r="D229" s="1" t="s">
        <v>225</v>
      </c>
    </row>
    <row r="230" spans="1:4" x14ac:dyDescent="0.35">
      <c r="A230" s="4">
        <v>46034</v>
      </c>
      <c r="B230" s="1" t="s">
        <v>25</v>
      </c>
      <c r="C230" s="7">
        <v>960</v>
      </c>
      <c r="D230" s="1" t="s">
        <v>227</v>
      </c>
    </row>
    <row r="231" spans="1:4" x14ac:dyDescent="0.35">
      <c r="A231" s="4">
        <v>46034</v>
      </c>
      <c r="B231" s="1" t="s">
        <v>35</v>
      </c>
      <c r="C231" s="7">
        <v>80</v>
      </c>
      <c r="D231" s="1" t="s">
        <v>133</v>
      </c>
    </row>
    <row r="232" spans="1:4" x14ac:dyDescent="0.35">
      <c r="A232" s="4">
        <v>46035</v>
      </c>
      <c r="B232" s="1" t="s">
        <v>35</v>
      </c>
      <c r="C232" s="7">
        <v>130</v>
      </c>
      <c r="D232" s="1" t="s">
        <v>226</v>
      </c>
    </row>
    <row r="233" spans="1:4" x14ac:dyDescent="0.35">
      <c r="A233" s="4">
        <v>46035</v>
      </c>
      <c r="B233" s="1" t="s">
        <v>29</v>
      </c>
      <c r="C233" s="7">
        <v>3000</v>
      </c>
      <c r="D233" s="1" t="s">
        <v>158</v>
      </c>
    </row>
    <row r="234" spans="1:4" x14ac:dyDescent="0.35">
      <c r="A234" s="4">
        <v>45671</v>
      </c>
      <c r="B234" s="1" t="s">
        <v>29</v>
      </c>
      <c r="C234" s="7">
        <v>1000</v>
      </c>
      <c r="D234" s="1" t="s">
        <v>229</v>
      </c>
    </row>
    <row r="235" spans="1:4" x14ac:dyDescent="0.35">
      <c r="A235" s="4">
        <v>46036</v>
      </c>
      <c r="B235" s="1" t="s">
        <v>29</v>
      </c>
      <c r="C235" s="7">
        <v>500</v>
      </c>
      <c r="D235" s="1" t="s">
        <v>230</v>
      </c>
    </row>
    <row r="236" spans="1:4" x14ac:dyDescent="0.35">
      <c r="A236" s="4">
        <v>46037</v>
      </c>
      <c r="B236" s="1" t="s">
        <v>29</v>
      </c>
      <c r="C236" s="7">
        <v>1000</v>
      </c>
      <c r="D236" s="1" t="s">
        <v>231</v>
      </c>
    </row>
    <row r="237" spans="1:4" x14ac:dyDescent="0.35">
      <c r="A237" s="4">
        <v>46042</v>
      </c>
      <c r="B237" s="1" t="s">
        <v>29</v>
      </c>
      <c r="C237" s="7">
        <v>13900</v>
      </c>
      <c r="D237" s="1" t="s">
        <v>232</v>
      </c>
    </row>
    <row r="238" spans="1:4" x14ac:dyDescent="0.35">
      <c r="A238" s="4">
        <v>46042</v>
      </c>
      <c r="B238" s="1" t="s">
        <v>39</v>
      </c>
      <c r="C238" s="7">
        <v>100</v>
      </c>
      <c r="D238" s="1" t="s">
        <v>233</v>
      </c>
    </row>
    <row r="239" spans="1:4" x14ac:dyDescent="0.35">
      <c r="A239" s="4">
        <v>46045</v>
      </c>
      <c r="B239" s="1" t="s">
        <v>24</v>
      </c>
      <c r="C239" s="7">
        <v>1000</v>
      </c>
      <c r="D239" s="1" t="s">
        <v>234</v>
      </c>
    </row>
    <row r="240" spans="1:4" x14ac:dyDescent="0.35">
      <c r="A240" s="4">
        <v>46046</v>
      </c>
      <c r="B240" s="1" t="s">
        <v>84</v>
      </c>
      <c r="C240" s="7">
        <v>2000</v>
      </c>
      <c r="D240" s="1" t="s">
        <v>140</v>
      </c>
    </row>
    <row r="241" spans="1:4" x14ac:dyDescent="0.35">
      <c r="A241" s="4">
        <v>46046</v>
      </c>
      <c r="B241" s="1" t="s">
        <v>27</v>
      </c>
      <c r="C241" s="7">
        <v>10800</v>
      </c>
      <c r="D241" s="1" t="s">
        <v>148</v>
      </c>
    </row>
    <row r="242" spans="1:4" x14ac:dyDescent="0.35">
      <c r="A242" s="4">
        <v>46046</v>
      </c>
      <c r="B242" s="1" t="s">
        <v>27</v>
      </c>
      <c r="C242" s="7">
        <v>8700</v>
      </c>
      <c r="D242" s="1" t="s">
        <v>235</v>
      </c>
    </row>
    <row r="243" spans="1:4" x14ac:dyDescent="0.35">
      <c r="A243" s="4">
        <v>46046</v>
      </c>
      <c r="B243" s="1" t="s">
        <v>29</v>
      </c>
      <c r="C243" s="7">
        <v>12400</v>
      </c>
      <c r="D243" s="1" t="s">
        <v>62</v>
      </c>
    </row>
    <row r="244" spans="1:4" x14ac:dyDescent="0.35">
      <c r="A244" s="4">
        <v>46046</v>
      </c>
      <c r="B244" s="1" t="s">
        <v>209</v>
      </c>
      <c r="C244" s="7">
        <v>10000</v>
      </c>
      <c r="D244" s="1" t="s">
        <v>236</v>
      </c>
    </row>
    <row r="245" spans="1:4" x14ac:dyDescent="0.35">
      <c r="A245" s="4">
        <v>46046</v>
      </c>
      <c r="B245" s="1" t="s">
        <v>37</v>
      </c>
      <c r="C245" s="7">
        <v>10000</v>
      </c>
      <c r="D245" s="1" t="s">
        <v>237</v>
      </c>
    </row>
    <row r="246" spans="1:4" x14ac:dyDescent="0.35">
      <c r="A246" s="4">
        <v>46046</v>
      </c>
      <c r="B246" s="1" t="s">
        <v>24</v>
      </c>
      <c r="C246" s="7">
        <v>500</v>
      </c>
      <c r="D246" s="1" t="s">
        <v>238</v>
      </c>
    </row>
    <row r="247" spans="1:4" x14ac:dyDescent="0.35">
      <c r="A247" s="4">
        <v>46046</v>
      </c>
      <c r="B247" s="1" t="s">
        <v>35</v>
      </c>
      <c r="C247" s="7">
        <v>1000</v>
      </c>
      <c r="D247" s="1" t="s">
        <v>122</v>
      </c>
    </row>
    <row r="248" spans="1:4" x14ac:dyDescent="0.35">
      <c r="A248" s="4">
        <v>46047</v>
      </c>
      <c r="B248" s="1" t="s">
        <v>35</v>
      </c>
      <c r="C248" s="7">
        <v>100</v>
      </c>
      <c r="D248" s="1" t="s">
        <v>133</v>
      </c>
    </row>
    <row r="249" spans="1:4" x14ac:dyDescent="0.35">
      <c r="A249" s="4">
        <v>46047</v>
      </c>
      <c r="B249" s="1" t="s">
        <v>5</v>
      </c>
      <c r="C249" s="7">
        <v>130</v>
      </c>
      <c r="D249" s="1" t="s">
        <v>239</v>
      </c>
    </row>
    <row r="250" spans="1:4" x14ac:dyDescent="0.35">
      <c r="A250" s="4">
        <v>46047</v>
      </c>
      <c r="B250" s="1" t="s">
        <v>5</v>
      </c>
      <c r="C250" s="7">
        <v>100</v>
      </c>
      <c r="D250" s="1" t="s">
        <v>233</v>
      </c>
    </row>
    <row r="251" spans="1:4" x14ac:dyDescent="0.35">
      <c r="A251" s="4">
        <v>46047</v>
      </c>
      <c r="B251" s="1" t="s">
        <v>25</v>
      </c>
      <c r="C251" s="7">
        <v>150</v>
      </c>
      <c r="D251" s="1" t="s">
        <v>240</v>
      </c>
    </row>
    <row r="252" spans="1:4" x14ac:dyDescent="0.35">
      <c r="A252" s="4">
        <v>46050</v>
      </c>
      <c r="B252" s="1" t="s">
        <v>29</v>
      </c>
      <c r="C252" s="7">
        <v>2000</v>
      </c>
      <c r="D252" s="1" t="s">
        <v>158</v>
      </c>
    </row>
    <row r="253" spans="1:4" x14ac:dyDescent="0.35">
      <c r="A253" s="4">
        <v>46050</v>
      </c>
      <c r="B253" s="1" t="s">
        <v>27</v>
      </c>
      <c r="C253" s="7">
        <v>2000</v>
      </c>
      <c r="D253" s="1" t="s">
        <v>95</v>
      </c>
    </row>
    <row r="254" spans="1:4" x14ac:dyDescent="0.35">
      <c r="A254" s="4">
        <v>46050</v>
      </c>
      <c r="B254" s="1" t="s">
        <v>84</v>
      </c>
      <c r="C254" s="7">
        <v>2000</v>
      </c>
      <c r="D254" s="1" t="s">
        <v>140</v>
      </c>
    </row>
    <row r="255" spans="1:4" x14ac:dyDescent="0.35">
      <c r="A255" s="4">
        <v>46051</v>
      </c>
      <c r="B255" s="1" t="s">
        <v>35</v>
      </c>
      <c r="C255" s="7">
        <v>30</v>
      </c>
      <c r="D255" s="1" t="s">
        <v>133</v>
      </c>
    </row>
    <row r="256" spans="1:4" x14ac:dyDescent="0.35">
      <c r="A256" s="4">
        <v>46052</v>
      </c>
      <c r="B256" s="1" t="s">
        <v>35</v>
      </c>
      <c r="C256" s="7">
        <v>50</v>
      </c>
      <c r="D256" s="1" t="s">
        <v>133</v>
      </c>
    </row>
    <row r="257" spans="1:5" x14ac:dyDescent="0.35">
      <c r="A257" s="4">
        <v>46053</v>
      </c>
      <c r="B257" s="1" t="s">
        <v>27</v>
      </c>
      <c r="C257" s="7">
        <v>46500</v>
      </c>
      <c r="D257" s="1" t="s">
        <v>148</v>
      </c>
    </row>
    <row r="258" spans="1:5" x14ac:dyDescent="0.35">
      <c r="A258" s="4">
        <v>46053</v>
      </c>
      <c r="B258" s="1" t="s">
        <v>29</v>
      </c>
      <c r="C258" s="7">
        <v>21150</v>
      </c>
      <c r="D258" s="1" t="s">
        <v>102</v>
      </c>
    </row>
    <row r="259" spans="1:5" x14ac:dyDescent="0.35">
      <c r="A259" s="4">
        <v>46053</v>
      </c>
      <c r="B259" s="1" t="s">
        <v>30</v>
      </c>
      <c r="C259" s="7">
        <v>5000</v>
      </c>
      <c r="D259" s="1" t="s">
        <v>241</v>
      </c>
    </row>
    <row r="260" spans="1:5" x14ac:dyDescent="0.35">
      <c r="A260" s="4">
        <v>46053</v>
      </c>
      <c r="B260" s="1" t="s">
        <v>26</v>
      </c>
      <c r="C260" s="7">
        <v>25000</v>
      </c>
      <c r="D260" s="1" t="s">
        <v>178</v>
      </c>
    </row>
    <row r="261" spans="1:5" x14ac:dyDescent="0.35">
      <c r="A261" s="4">
        <v>46053</v>
      </c>
      <c r="B261" s="1" t="s">
        <v>26</v>
      </c>
      <c r="C261" s="7">
        <v>25000</v>
      </c>
      <c r="D261" s="1" t="s">
        <v>242</v>
      </c>
    </row>
    <row r="262" spans="1:5" x14ac:dyDescent="0.35">
      <c r="A262" s="4">
        <v>46053</v>
      </c>
      <c r="B262" s="1" t="s">
        <v>28</v>
      </c>
      <c r="C262" s="7">
        <v>16000</v>
      </c>
      <c r="D262" s="1" t="s">
        <v>241</v>
      </c>
    </row>
    <row r="263" spans="1:5" x14ac:dyDescent="0.35">
      <c r="A263" s="4">
        <v>46055</v>
      </c>
      <c r="B263" s="1" t="s">
        <v>84</v>
      </c>
      <c r="C263" s="7">
        <v>2000</v>
      </c>
      <c r="D263" s="1" t="s">
        <v>140</v>
      </c>
    </row>
    <row r="264" spans="1:5" x14ac:dyDescent="0.35">
      <c r="A264" s="4">
        <v>46056</v>
      </c>
      <c r="B264" s="1" t="s">
        <v>35</v>
      </c>
      <c r="C264" s="7">
        <v>1500</v>
      </c>
      <c r="D264" s="1" t="s">
        <v>122</v>
      </c>
    </row>
    <row r="265" spans="1:5" x14ac:dyDescent="0.35">
      <c r="A265" s="4">
        <v>46056</v>
      </c>
      <c r="B265" s="1" t="s">
        <v>35</v>
      </c>
      <c r="C265" s="7">
        <v>80</v>
      </c>
      <c r="D265" s="1" t="s">
        <v>243</v>
      </c>
      <c r="E265" t="s">
        <v>183</v>
      </c>
    </row>
    <row r="266" spans="1:5" x14ac:dyDescent="0.35">
      <c r="A266" s="4">
        <v>46056</v>
      </c>
      <c r="B266" s="1" t="s">
        <v>125</v>
      </c>
      <c r="C266" s="7">
        <v>700</v>
      </c>
      <c r="D266" s="1" t="s">
        <v>244</v>
      </c>
    </row>
    <row r="267" spans="1:5" x14ac:dyDescent="0.35">
      <c r="A267" s="4">
        <v>46057</v>
      </c>
      <c r="B267" s="1" t="s">
        <v>110</v>
      </c>
      <c r="C267" s="7">
        <v>125000</v>
      </c>
      <c r="D267" s="1" t="s">
        <v>245</v>
      </c>
    </row>
    <row r="268" spans="1:5" x14ac:dyDescent="0.35">
      <c r="A268" s="4">
        <v>46057</v>
      </c>
      <c r="B268" s="1" t="s">
        <v>5</v>
      </c>
      <c r="C268" s="7">
        <v>200</v>
      </c>
      <c r="D268" s="1" t="s">
        <v>246</v>
      </c>
    </row>
    <row r="269" spans="1:5" x14ac:dyDescent="0.35">
      <c r="A269" s="4">
        <v>46060</v>
      </c>
      <c r="B269" s="1" t="s">
        <v>27</v>
      </c>
      <c r="C269" s="7">
        <v>2550</v>
      </c>
      <c r="D269" s="1" t="s">
        <v>248</v>
      </c>
    </row>
    <row r="270" spans="1:5" x14ac:dyDescent="0.35">
      <c r="A270" s="4">
        <v>46060</v>
      </c>
      <c r="B270" s="1" t="s">
        <v>26</v>
      </c>
      <c r="C270" s="7">
        <v>105000</v>
      </c>
      <c r="D270" s="1" t="s">
        <v>178</v>
      </c>
    </row>
    <row r="271" spans="1:5" x14ac:dyDescent="0.35">
      <c r="A271" s="4">
        <v>46062</v>
      </c>
      <c r="B271" s="1" t="s">
        <v>35</v>
      </c>
      <c r="C271" s="7">
        <v>1100</v>
      </c>
      <c r="D271" s="1" t="s">
        <v>122</v>
      </c>
    </row>
    <row r="272" spans="1:5" x14ac:dyDescent="0.35">
      <c r="A272" s="21">
        <v>46062</v>
      </c>
      <c r="B272" s="22" t="s">
        <v>125</v>
      </c>
      <c r="C272" s="23">
        <v>700</v>
      </c>
      <c r="D272" s="22" t="s">
        <v>120</v>
      </c>
    </row>
    <row r="273" spans="1:4" x14ac:dyDescent="0.35">
      <c r="A273" s="4">
        <v>46067</v>
      </c>
      <c r="B273" s="1" t="s">
        <v>27</v>
      </c>
      <c r="C273" s="7">
        <v>18050</v>
      </c>
      <c r="D273" s="1" t="s">
        <v>248</v>
      </c>
    </row>
    <row r="274" spans="1:4" x14ac:dyDescent="0.35">
      <c r="A274" s="4">
        <v>46067</v>
      </c>
      <c r="B274" s="1" t="s">
        <v>29</v>
      </c>
      <c r="C274" s="7">
        <v>5750</v>
      </c>
      <c r="D274" s="1" t="s">
        <v>102</v>
      </c>
    </row>
    <row r="275" spans="1:4" x14ac:dyDescent="0.35">
      <c r="A275" s="4">
        <v>46067</v>
      </c>
      <c r="B275" s="1" t="s">
        <v>27</v>
      </c>
      <c r="C275" s="7">
        <v>1200</v>
      </c>
      <c r="D275" s="1" t="s">
        <v>250</v>
      </c>
    </row>
    <row r="276" spans="1:4" x14ac:dyDescent="0.35">
      <c r="A276" s="4">
        <v>46067</v>
      </c>
      <c r="B276" s="1" t="s">
        <v>26</v>
      </c>
      <c r="C276" s="7">
        <v>10000</v>
      </c>
      <c r="D276" s="1" t="s">
        <v>251</v>
      </c>
    </row>
    <row r="277" spans="1:4" x14ac:dyDescent="0.35">
      <c r="A277" s="4">
        <v>46072</v>
      </c>
      <c r="B277" s="1" t="s">
        <v>253</v>
      </c>
      <c r="C277" s="7">
        <v>128000</v>
      </c>
      <c r="D277" s="1" t="s">
        <v>254</v>
      </c>
    </row>
    <row r="278" spans="1:4" x14ac:dyDescent="0.35">
      <c r="A278" s="4">
        <v>46074</v>
      </c>
      <c r="B278" s="1" t="s">
        <v>27</v>
      </c>
      <c r="C278" s="7">
        <v>21750</v>
      </c>
      <c r="D278" s="1" t="s">
        <v>248</v>
      </c>
    </row>
    <row r="279" spans="1:4" x14ac:dyDescent="0.35">
      <c r="A279" s="4">
        <v>46074</v>
      </c>
      <c r="B279" s="1" t="s">
        <v>27</v>
      </c>
      <c r="C279" s="7">
        <v>600</v>
      </c>
      <c r="D279" s="1" t="s">
        <v>250</v>
      </c>
    </row>
    <row r="280" spans="1:4" x14ac:dyDescent="0.35">
      <c r="A280" s="4">
        <v>46074</v>
      </c>
      <c r="B280" s="1" t="s">
        <v>29</v>
      </c>
      <c r="C280" s="7">
        <v>1000</v>
      </c>
      <c r="D280" s="1" t="s">
        <v>102</v>
      </c>
    </row>
    <row r="281" spans="1:4" x14ac:dyDescent="0.35">
      <c r="A281" s="4">
        <v>46074</v>
      </c>
      <c r="B281" s="1" t="s">
        <v>26</v>
      </c>
      <c r="C281" s="7">
        <v>6250</v>
      </c>
      <c r="D281" s="1" t="s">
        <v>255</v>
      </c>
    </row>
    <row r="282" spans="1:4" x14ac:dyDescent="0.35">
      <c r="A282" s="4">
        <v>46074</v>
      </c>
      <c r="B282" s="1" t="s">
        <v>26</v>
      </c>
      <c r="C282" s="7">
        <v>36000</v>
      </c>
      <c r="D282" s="1" t="s">
        <v>256</v>
      </c>
    </row>
    <row r="283" spans="1:4" x14ac:dyDescent="0.35">
      <c r="A283" s="4">
        <v>46076</v>
      </c>
      <c r="B283" s="1" t="s">
        <v>253</v>
      </c>
      <c r="C283" s="7">
        <v>10000</v>
      </c>
      <c r="D283" s="1" t="s">
        <v>257</v>
      </c>
    </row>
    <row r="284" spans="1:4" x14ac:dyDescent="0.35">
      <c r="A284" s="4">
        <v>46076</v>
      </c>
      <c r="B284" s="1" t="s">
        <v>84</v>
      </c>
      <c r="C284" s="7">
        <v>2000</v>
      </c>
      <c r="D284" s="1" t="s">
        <v>140</v>
      </c>
    </row>
    <row r="285" spans="1:4" x14ac:dyDescent="0.35">
      <c r="A285" s="4">
        <v>46077</v>
      </c>
      <c r="B285" s="1" t="s">
        <v>35</v>
      </c>
      <c r="C285" s="7">
        <v>300</v>
      </c>
      <c r="D285" s="1" t="s">
        <v>122</v>
      </c>
    </row>
    <row r="286" spans="1:4" x14ac:dyDescent="0.35">
      <c r="A286" s="4">
        <v>46079</v>
      </c>
      <c r="B286" s="1" t="s">
        <v>84</v>
      </c>
      <c r="C286" s="7">
        <v>2000</v>
      </c>
      <c r="D286" s="1" t="s">
        <v>140</v>
      </c>
    </row>
    <row r="287" spans="1:4" x14ac:dyDescent="0.35">
      <c r="A287" s="4">
        <v>46080</v>
      </c>
      <c r="B287" s="1" t="s">
        <v>125</v>
      </c>
      <c r="C287" s="7">
        <v>700</v>
      </c>
      <c r="D287" s="1" t="s">
        <v>144</v>
      </c>
    </row>
    <row r="288" spans="1:4" x14ac:dyDescent="0.35">
      <c r="A288" s="4">
        <v>46081</v>
      </c>
      <c r="B288" s="1" t="s">
        <v>30</v>
      </c>
      <c r="C288" s="7">
        <v>4000</v>
      </c>
      <c r="D288" s="1" t="s">
        <v>259</v>
      </c>
    </row>
    <row r="289" spans="1:4" x14ac:dyDescent="0.35">
      <c r="A289" s="4">
        <v>46083</v>
      </c>
      <c r="B289" s="1" t="s">
        <v>84</v>
      </c>
      <c r="C289" s="7">
        <v>2000</v>
      </c>
      <c r="D289" s="1" t="s">
        <v>140</v>
      </c>
    </row>
    <row r="290" spans="1:4" x14ac:dyDescent="0.35">
      <c r="A290" s="4">
        <v>46085</v>
      </c>
      <c r="B290" s="1" t="s">
        <v>110</v>
      </c>
      <c r="C290" s="7">
        <v>23750</v>
      </c>
      <c r="D290" s="1" t="s">
        <v>260</v>
      </c>
    </row>
    <row r="291" spans="1:4" x14ac:dyDescent="0.35">
      <c r="A291" s="4">
        <v>46086</v>
      </c>
      <c r="B291" s="1" t="s">
        <v>84</v>
      </c>
      <c r="C291" s="7">
        <v>2000</v>
      </c>
      <c r="D291" s="1" t="s">
        <v>140</v>
      </c>
    </row>
    <row r="292" spans="1:4" x14ac:dyDescent="0.35">
      <c r="A292" s="4">
        <v>46088</v>
      </c>
      <c r="B292" s="1" t="s">
        <v>27</v>
      </c>
      <c r="C292" s="7">
        <v>15650</v>
      </c>
      <c r="D292" s="1" t="s">
        <v>261</v>
      </c>
    </row>
    <row r="293" spans="1:4" x14ac:dyDescent="0.35">
      <c r="A293" s="4">
        <v>46088</v>
      </c>
      <c r="B293" s="1" t="s">
        <v>30</v>
      </c>
      <c r="C293" s="7">
        <v>2000</v>
      </c>
      <c r="D293" s="1" t="s">
        <v>262</v>
      </c>
    </row>
    <row r="294" spans="1:4" x14ac:dyDescent="0.35">
      <c r="A294" s="4">
        <v>46088</v>
      </c>
      <c r="B294" s="1" t="s">
        <v>26</v>
      </c>
      <c r="C294" s="7">
        <v>50000</v>
      </c>
      <c r="D294" s="1" t="s">
        <v>130</v>
      </c>
    </row>
    <row r="295" spans="1:4" x14ac:dyDescent="0.35">
      <c r="A295" s="4">
        <v>46088</v>
      </c>
      <c r="B295" s="1" t="s">
        <v>84</v>
      </c>
      <c r="C295" s="7">
        <v>2000</v>
      </c>
      <c r="D295" s="1" t="s">
        <v>140</v>
      </c>
    </row>
    <row r="296" spans="1:4" x14ac:dyDescent="0.35">
      <c r="A296" s="4">
        <v>46090</v>
      </c>
      <c r="B296" s="1" t="s">
        <v>110</v>
      </c>
      <c r="C296" s="7">
        <v>200000</v>
      </c>
      <c r="D296" s="1" t="s">
        <v>111</v>
      </c>
    </row>
    <row r="297" spans="1:4" x14ac:dyDescent="0.35">
      <c r="A297" s="4">
        <v>46092</v>
      </c>
      <c r="B297" s="1" t="s">
        <v>27</v>
      </c>
      <c r="C297" s="7">
        <v>4000</v>
      </c>
      <c r="D297" s="1" t="s">
        <v>263</v>
      </c>
    </row>
    <row r="298" spans="1:4" x14ac:dyDescent="0.35">
      <c r="A298" s="4">
        <v>46093</v>
      </c>
      <c r="B298" s="1" t="s">
        <v>125</v>
      </c>
      <c r="C298" s="7">
        <v>700</v>
      </c>
      <c r="D298" s="1" t="s">
        <v>144</v>
      </c>
    </row>
    <row r="299" spans="1:4" x14ac:dyDescent="0.35">
      <c r="A299" s="4">
        <v>46095</v>
      </c>
      <c r="B299" s="1" t="s">
        <v>27</v>
      </c>
      <c r="C299" s="7">
        <v>21350</v>
      </c>
      <c r="D299" s="1" t="s">
        <v>248</v>
      </c>
    </row>
    <row r="300" spans="1:4" x14ac:dyDescent="0.35">
      <c r="A300" s="4">
        <v>46096</v>
      </c>
      <c r="B300" s="1" t="s">
        <v>40</v>
      </c>
      <c r="C300" s="7">
        <v>800</v>
      </c>
      <c r="D300" s="1" t="s">
        <v>266</v>
      </c>
    </row>
    <row r="301" spans="1:4" x14ac:dyDescent="0.35">
      <c r="A301" s="4">
        <v>46097</v>
      </c>
      <c r="B301" s="1" t="s">
        <v>40</v>
      </c>
      <c r="C301" s="7">
        <v>1270</v>
      </c>
      <c r="D301" s="1" t="s">
        <v>265</v>
      </c>
    </row>
    <row r="302" spans="1:4" x14ac:dyDescent="0.35">
      <c r="A302" s="4">
        <v>46099</v>
      </c>
      <c r="B302" s="1" t="s">
        <v>25</v>
      </c>
      <c r="C302" s="7">
        <v>780</v>
      </c>
      <c r="D302" s="1" t="s">
        <v>268</v>
      </c>
    </row>
    <row r="303" spans="1:4" x14ac:dyDescent="0.35">
      <c r="A303" s="4">
        <v>46099</v>
      </c>
      <c r="B303" s="1" t="s">
        <v>35</v>
      </c>
      <c r="C303" s="7">
        <v>250</v>
      </c>
      <c r="D303" s="1" t="s">
        <v>271</v>
      </c>
    </row>
    <row r="304" spans="1:4" x14ac:dyDescent="0.35">
      <c r="A304" s="4">
        <v>46099</v>
      </c>
      <c r="B304" s="1" t="s">
        <v>5</v>
      </c>
      <c r="C304" s="7">
        <v>240</v>
      </c>
      <c r="D304" s="1" t="s">
        <v>269</v>
      </c>
    </row>
    <row r="305" spans="1:6" x14ac:dyDescent="0.35">
      <c r="A305" s="4">
        <v>46099</v>
      </c>
      <c r="B305" s="1" t="s">
        <v>29</v>
      </c>
      <c r="C305" s="7">
        <v>2000</v>
      </c>
      <c r="D305" s="1" t="s">
        <v>270</v>
      </c>
    </row>
    <row r="306" spans="1:6" x14ac:dyDescent="0.35">
      <c r="A306" s="4">
        <v>46100</v>
      </c>
      <c r="B306" s="1" t="s">
        <v>84</v>
      </c>
      <c r="C306" s="7">
        <v>2000</v>
      </c>
      <c r="D306" s="1" t="s">
        <v>140</v>
      </c>
      <c r="F306" s="8"/>
    </row>
    <row r="307" spans="1:6" x14ac:dyDescent="0.35">
      <c r="A307" s="4">
        <v>46102</v>
      </c>
      <c r="B307" s="1" t="s">
        <v>27</v>
      </c>
      <c r="C307" s="7">
        <v>34250</v>
      </c>
      <c r="D307" s="1" t="s">
        <v>202</v>
      </c>
    </row>
    <row r="308" spans="1:6" x14ac:dyDescent="0.35">
      <c r="A308" s="4">
        <v>46102</v>
      </c>
      <c r="B308" s="1" t="s">
        <v>29</v>
      </c>
      <c r="C308" s="7">
        <v>8550</v>
      </c>
      <c r="D308" s="1" t="s">
        <v>272</v>
      </c>
    </row>
    <row r="309" spans="1:6" x14ac:dyDescent="0.35">
      <c r="A309" s="4">
        <v>46102</v>
      </c>
      <c r="B309" s="1" t="s">
        <v>26</v>
      </c>
      <c r="C309" s="7">
        <v>10750</v>
      </c>
      <c r="D309" s="1" t="s">
        <v>179</v>
      </c>
    </row>
    <row r="310" spans="1:6" x14ac:dyDescent="0.35">
      <c r="A310" s="4">
        <v>46102</v>
      </c>
      <c r="B310" s="1" t="s">
        <v>26</v>
      </c>
      <c r="C310" s="7">
        <v>13500</v>
      </c>
      <c r="D310" s="1" t="s">
        <v>273</v>
      </c>
    </row>
    <row r="311" spans="1:6" x14ac:dyDescent="0.35">
      <c r="A311" s="4">
        <v>46102</v>
      </c>
      <c r="B311" s="1" t="s">
        <v>37</v>
      </c>
      <c r="C311" s="7">
        <v>5000</v>
      </c>
      <c r="D311" s="1" t="s">
        <v>274</v>
      </c>
    </row>
    <row r="312" spans="1:6" x14ac:dyDescent="0.35">
      <c r="A312" s="4">
        <v>46105</v>
      </c>
      <c r="B312" s="1" t="s">
        <v>84</v>
      </c>
      <c r="C312" s="7">
        <v>2000</v>
      </c>
      <c r="D312" s="1" t="s">
        <v>140</v>
      </c>
    </row>
    <row r="313" spans="1:6" x14ac:dyDescent="0.35">
      <c r="A313" s="4">
        <v>46106</v>
      </c>
      <c r="B313" s="1" t="s">
        <v>35</v>
      </c>
      <c r="C313" s="7">
        <v>500</v>
      </c>
      <c r="D313" s="1" t="s">
        <v>276</v>
      </c>
    </row>
    <row r="314" spans="1:6" x14ac:dyDescent="0.35">
      <c r="A314" s="4">
        <v>46106</v>
      </c>
      <c r="B314" s="1" t="s">
        <v>25</v>
      </c>
      <c r="C314" s="7">
        <v>150</v>
      </c>
      <c r="D314" s="1" t="s">
        <v>277</v>
      </c>
    </row>
    <row r="315" spans="1:6" x14ac:dyDescent="0.35">
      <c r="A315" s="4">
        <v>46108</v>
      </c>
      <c r="B315" s="1" t="s">
        <v>275</v>
      </c>
      <c r="C315" s="7">
        <v>10000</v>
      </c>
      <c r="D315" s="1"/>
    </row>
    <row r="316" spans="1:6" x14ac:dyDescent="0.35">
      <c r="A316" s="4">
        <v>46108</v>
      </c>
      <c r="B316" s="1" t="s">
        <v>84</v>
      </c>
      <c r="C316" s="7">
        <v>2000</v>
      </c>
      <c r="D316" s="1"/>
    </row>
    <row r="317" spans="1:6" x14ac:dyDescent="0.35">
      <c r="A317" s="4">
        <v>46108</v>
      </c>
      <c r="B317" s="1" t="s">
        <v>40</v>
      </c>
      <c r="C317" s="7">
        <v>1450</v>
      </c>
      <c r="D317" s="1" t="s">
        <v>278</v>
      </c>
    </row>
    <row r="318" spans="1:6" x14ac:dyDescent="0.35">
      <c r="A318" s="4">
        <v>46108</v>
      </c>
      <c r="B318" s="1" t="s">
        <v>39</v>
      </c>
      <c r="C318" s="7">
        <v>350</v>
      </c>
      <c r="D318" s="1" t="s">
        <v>279</v>
      </c>
    </row>
    <row r="319" spans="1:6" x14ac:dyDescent="0.35">
      <c r="A319" s="4">
        <v>46109</v>
      </c>
      <c r="B319" s="1" t="s">
        <v>25</v>
      </c>
      <c r="C319" s="7">
        <v>720</v>
      </c>
      <c r="D319" s="1" t="s">
        <v>280</v>
      </c>
    </row>
    <row r="320" spans="1:6" x14ac:dyDescent="0.35">
      <c r="A320" s="4">
        <v>46109</v>
      </c>
      <c r="B320" s="1" t="s">
        <v>27</v>
      </c>
      <c r="C320" s="7">
        <v>24550</v>
      </c>
      <c r="D320" s="1" t="s">
        <v>248</v>
      </c>
    </row>
    <row r="321" spans="1:4" x14ac:dyDescent="0.35">
      <c r="A321" s="4">
        <v>46109</v>
      </c>
      <c r="B321" s="1" t="s">
        <v>29</v>
      </c>
      <c r="C321" s="7">
        <v>2100</v>
      </c>
      <c r="D321" s="1" t="s">
        <v>102</v>
      </c>
    </row>
    <row r="322" spans="1:4" x14ac:dyDescent="0.35">
      <c r="A322" s="4">
        <v>46109</v>
      </c>
      <c r="B322" s="1" t="s">
        <v>26</v>
      </c>
      <c r="C322" s="7">
        <v>50000</v>
      </c>
      <c r="D322" s="1" t="s">
        <v>281</v>
      </c>
    </row>
    <row r="323" spans="1:4" x14ac:dyDescent="0.35">
      <c r="A323" s="4">
        <v>46109</v>
      </c>
      <c r="B323" s="1" t="s">
        <v>37</v>
      </c>
      <c r="C323" s="7">
        <v>6000</v>
      </c>
      <c r="D323" s="1" t="s">
        <v>274</v>
      </c>
    </row>
    <row r="324" spans="1:4" x14ac:dyDescent="0.35">
      <c r="A324" s="4">
        <v>46112</v>
      </c>
      <c r="B324" s="1" t="s">
        <v>84</v>
      </c>
      <c r="C324" s="7">
        <v>2000</v>
      </c>
      <c r="D324" s="1" t="s">
        <v>140</v>
      </c>
    </row>
    <row r="325" spans="1:4" x14ac:dyDescent="0.35">
      <c r="A325" s="4">
        <v>46113</v>
      </c>
      <c r="B325" s="1" t="s">
        <v>24</v>
      </c>
      <c r="C325" s="7">
        <v>230</v>
      </c>
      <c r="D325" s="1" t="s">
        <v>285</v>
      </c>
    </row>
    <row r="326" spans="1:4" x14ac:dyDescent="0.35">
      <c r="A326" s="4">
        <v>46113</v>
      </c>
      <c r="B326" s="1" t="s">
        <v>35</v>
      </c>
      <c r="C326" s="7">
        <v>121</v>
      </c>
      <c r="D326" s="1" t="s">
        <v>286</v>
      </c>
    </row>
    <row r="327" spans="1:4" x14ac:dyDescent="0.35">
      <c r="A327" s="4">
        <v>46113</v>
      </c>
      <c r="B327" s="1" t="s">
        <v>125</v>
      </c>
      <c r="C327" s="7">
        <v>700</v>
      </c>
      <c r="D327" s="1" t="s">
        <v>144</v>
      </c>
    </row>
    <row r="328" spans="1:4" x14ac:dyDescent="0.35">
      <c r="A328" s="4">
        <v>46113</v>
      </c>
      <c r="B328" s="1" t="s">
        <v>24</v>
      </c>
      <c r="C328" s="7">
        <v>1000</v>
      </c>
      <c r="D328" s="1" t="s">
        <v>287</v>
      </c>
    </row>
    <row r="329" spans="1:4" x14ac:dyDescent="0.35">
      <c r="A329" s="4">
        <v>46113</v>
      </c>
      <c r="B329" s="1" t="s">
        <v>25</v>
      </c>
      <c r="C329" s="7">
        <v>150</v>
      </c>
      <c r="D329" s="1" t="s">
        <v>288</v>
      </c>
    </row>
    <row r="330" spans="1:4" x14ac:dyDescent="0.35">
      <c r="A330" s="4">
        <v>46113</v>
      </c>
      <c r="B330" s="1" t="s">
        <v>35</v>
      </c>
      <c r="C330" s="7">
        <v>1112</v>
      </c>
      <c r="D330" s="1" t="s">
        <v>286</v>
      </c>
    </row>
    <row r="331" spans="1:4" x14ac:dyDescent="0.35">
      <c r="A331" s="4">
        <v>46113</v>
      </c>
      <c r="B331" s="1" t="s">
        <v>39</v>
      </c>
      <c r="C331" s="7">
        <v>200</v>
      </c>
      <c r="D331" s="1" t="s">
        <v>289</v>
      </c>
    </row>
    <row r="332" spans="1:4" x14ac:dyDescent="0.35">
      <c r="A332" s="4">
        <v>46114</v>
      </c>
      <c r="B332" s="1" t="s">
        <v>29</v>
      </c>
      <c r="C332" s="7">
        <v>3500</v>
      </c>
      <c r="D332" s="1" t="s">
        <v>290</v>
      </c>
    </row>
    <row r="333" spans="1:4" x14ac:dyDescent="0.35">
      <c r="A333" s="4">
        <v>46115</v>
      </c>
      <c r="B333" s="1" t="s">
        <v>5</v>
      </c>
      <c r="C333" s="7">
        <v>980</v>
      </c>
      <c r="D333" s="1" t="s">
        <v>292</v>
      </c>
    </row>
    <row r="334" spans="1:4" x14ac:dyDescent="0.35">
      <c r="A334" s="4">
        <v>46115</v>
      </c>
      <c r="B334" s="1" t="s">
        <v>24</v>
      </c>
      <c r="C334" s="7">
        <v>610</v>
      </c>
      <c r="D334" s="1" t="s">
        <v>293</v>
      </c>
    </row>
    <row r="335" spans="1:4" x14ac:dyDescent="0.35">
      <c r="A335" s="4">
        <v>46116</v>
      </c>
      <c r="B335" s="1" t="s">
        <v>27</v>
      </c>
      <c r="C335" s="7">
        <v>23000</v>
      </c>
      <c r="D335" s="1" t="s">
        <v>261</v>
      </c>
    </row>
    <row r="336" spans="1:4" x14ac:dyDescent="0.35">
      <c r="A336" s="4">
        <v>46116</v>
      </c>
      <c r="B336" s="1" t="s">
        <v>29</v>
      </c>
      <c r="C336" s="7">
        <v>10450</v>
      </c>
      <c r="D336" s="1" t="s">
        <v>102</v>
      </c>
    </row>
    <row r="337" spans="1:4" x14ac:dyDescent="0.35">
      <c r="A337" s="4">
        <v>46116</v>
      </c>
      <c r="B337" s="1" t="s">
        <v>30</v>
      </c>
      <c r="C337" s="7">
        <v>500</v>
      </c>
      <c r="D337" s="1" t="s">
        <v>294</v>
      </c>
    </row>
    <row r="338" spans="1:4" x14ac:dyDescent="0.35">
      <c r="A338" s="4">
        <v>46116</v>
      </c>
      <c r="B338" s="1" t="s">
        <v>28</v>
      </c>
      <c r="C338" s="7">
        <v>12000</v>
      </c>
      <c r="D338" s="1" t="s">
        <v>295</v>
      </c>
    </row>
    <row r="339" spans="1:4" x14ac:dyDescent="0.35">
      <c r="A339" s="4">
        <v>46116</v>
      </c>
      <c r="B339" s="1" t="s">
        <v>275</v>
      </c>
      <c r="C339" s="7">
        <v>5000</v>
      </c>
      <c r="D339" s="1" t="s">
        <v>296</v>
      </c>
    </row>
    <row r="340" spans="1:4" x14ac:dyDescent="0.35">
      <c r="A340" s="4">
        <v>46117</v>
      </c>
      <c r="B340" s="1" t="s">
        <v>5</v>
      </c>
      <c r="C340" s="7">
        <v>860</v>
      </c>
      <c r="D340" s="1" t="s">
        <v>297</v>
      </c>
    </row>
    <row r="341" spans="1:4" x14ac:dyDescent="0.35">
      <c r="A341" s="4">
        <v>46117</v>
      </c>
      <c r="B341" s="1" t="s">
        <v>5</v>
      </c>
      <c r="C341" s="7">
        <v>500</v>
      </c>
      <c r="D341" s="1" t="s">
        <v>298</v>
      </c>
    </row>
    <row r="342" spans="1:4" x14ac:dyDescent="0.35">
      <c r="A342" s="4">
        <v>46120</v>
      </c>
      <c r="B342" s="1" t="s">
        <v>5</v>
      </c>
      <c r="C342" s="7">
        <v>3000</v>
      </c>
      <c r="D342" s="1" t="s">
        <v>299</v>
      </c>
    </row>
    <row r="343" spans="1:4" x14ac:dyDescent="0.35">
      <c r="A343" s="4">
        <v>46120</v>
      </c>
      <c r="B343" s="1" t="s">
        <v>27</v>
      </c>
      <c r="C343" s="7">
        <v>2000</v>
      </c>
      <c r="D343" s="1" t="s">
        <v>300</v>
      </c>
    </row>
    <row r="344" spans="1:4" x14ac:dyDescent="0.35">
      <c r="A344" s="4">
        <v>46121</v>
      </c>
      <c r="B344" s="1" t="s">
        <v>125</v>
      </c>
      <c r="C344" s="7">
        <v>700</v>
      </c>
      <c r="D344" s="1" t="s">
        <v>302</v>
      </c>
    </row>
    <row r="345" spans="1:4" x14ac:dyDescent="0.35">
      <c r="A345" s="4">
        <v>46121</v>
      </c>
      <c r="B345" s="1" t="s">
        <v>5</v>
      </c>
      <c r="C345" s="7">
        <v>500</v>
      </c>
      <c r="D345" s="1" t="s">
        <v>301</v>
      </c>
    </row>
    <row r="346" spans="1:4" x14ac:dyDescent="0.35">
      <c r="A346" s="4">
        <v>46121</v>
      </c>
      <c r="B346" s="1" t="s">
        <v>5</v>
      </c>
      <c r="C346" s="7">
        <v>65</v>
      </c>
      <c r="D346" s="1" t="s">
        <v>303</v>
      </c>
    </row>
    <row r="347" spans="1:4" x14ac:dyDescent="0.35">
      <c r="A347" s="4">
        <v>46121</v>
      </c>
      <c r="B347" s="1" t="s">
        <v>39</v>
      </c>
      <c r="C347" s="7">
        <v>100</v>
      </c>
      <c r="D347" s="1" t="s">
        <v>304</v>
      </c>
    </row>
    <row r="348" spans="1:4" x14ac:dyDescent="0.35">
      <c r="A348" s="4">
        <v>46121</v>
      </c>
      <c r="B348" s="1" t="s">
        <v>5</v>
      </c>
      <c r="C348" s="7">
        <v>90</v>
      </c>
      <c r="D348" s="1" t="s">
        <v>305</v>
      </c>
    </row>
    <row r="349" spans="1:4" x14ac:dyDescent="0.35">
      <c r="A349" s="4">
        <v>46121</v>
      </c>
      <c r="B349" s="1" t="s">
        <v>5</v>
      </c>
      <c r="C349" s="7">
        <v>80</v>
      </c>
      <c r="D349" s="1" t="s">
        <v>306</v>
      </c>
    </row>
    <row r="350" spans="1:4" x14ac:dyDescent="0.35">
      <c r="A350" s="4">
        <v>46123</v>
      </c>
      <c r="B350" s="1" t="s">
        <v>27</v>
      </c>
      <c r="C350" s="7">
        <v>64250</v>
      </c>
      <c r="D350" s="1" t="s">
        <v>248</v>
      </c>
    </row>
    <row r="351" spans="1:4" x14ac:dyDescent="0.35">
      <c r="A351" s="4">
        <v>46123</v>
      </c>
      <c r="B351" s="1" t="s">
        <v>29</v>
      </c>
      <c r="C351" s="7">
        <v>2200</v>
      </c>
      <c r="D351" s="1" t="s">
        <v>102</v>
      </c>
    </row>
    <row r="352" spans="1:4" x14ac:dyDescent="0.35">
      <c r="A352" s="4">
        <v>46123</v>
      </c>
      <c r="B352" s="1" t="s">
        <v>275</v>
      </c>
      <c r="C352" s="7">
        <v>10000</v>
      </c>
      <c r="D352" s="1" t="s">
        <v>308</v>
      </c>
    </row>
    <row r="353" spans="1:4" x14ac:dyDescent="0.35">
      <c r="A353" s="4">
        <v>46125</v>
      </c>
      <c r="B353" s="1" t="s">
        <v>26</v>
      </c>
      <c r="C353" s="7">
        <v>100000</v>
      </c>
      <c r="D353" s="1" t="s">
        <v>130</v>
      </c>
    </row>
    <row r="354" spans="1:4" x14ac:dyDescent="0.35">
      <c r="A354" s="4">
        <v>46125</v>
      </c>
      <c r="B354" s="1" t="s">
        <v>35</v>
      </c>
      <c r="C354" s="7">
        <v>1035</v>
      </c>
      <c r="D354" s="1" t="s">
        <v>271</v>
      </c>
    </row>
    <row r="355" spans="1:4" x14ac:dyDescent="0.35">
      <c r="A355" s="4">
        <v>46128</v>
      </c>
      <c r="B355" s="1" t="s">
        <v>26</v>
      </c>
      <c r="C355" s="7">
        <v>20000</v>
      </c>
      <c r="D355" s="1" t="s">
        <v>255</v>
      </c>
    </row>
    <row r="356" spans="1:4" x14ac:dyDescent="0.35">
      <c r="A356" s="4">
        <v>46129</v>
      </c>
      <c r="B356" s="1" t="s">
        <v>219</v>
      </c>
      <c r="C356" s="7">
        <v>2500</v>
      </c>
      <c r="D356" s="1" t="s">
        <v>309</v>
      </c>
    </row>
    <row r="357" spans="1:4" x14ac:dyDescent="0.35">
      <c r="A357" s="4">
        <v>46129</v>
      </c>
      <c r="B357" s="1" t="s">
        <v>24</v>
      </c>
      <c r="C357" s="7">
        <v>480</v>
      </c>
      <c r="D357" s="1" t="s">
        <v>310</v>
      </c>
    </row>
    <row r="358" spans="1:4" x14ac:dyDescent="0.35">
      <c r="A358" s="4">
        <v>46129</v>
      </c>
      <c r="B358" s="1" t="s">
        <v>5</v>
      </c>
      <c r="C358" s="7">
        <v>150</v>
      </c>
      <c r="D358" s="1" t="s">
        <v>311</v>
      </c>
    </row>
    <row r="359" spans="1:4" x14ac:dyDescent="0.35">
      <c r="A359" s="4">
        <v>46129</v>
      </c>
      <c r="B359" s="1" t="s">
        <v>125</v>
      </c>
      <c r="C359" s="7">
        <v>700</v>
      </c>
      <c r="D359" s="1" t="s">
        <v>312</v>
      </c>
    </row>
    <row r="360" spans="1:4" x14ac:dyDescent="0.35">
      <c r="A360" s="4">
        <v>46129</v>
      </c>
      <c r="B360" s="1" t="s">
        <v>35</v>
      </c>
      <c r="C360" s="7">
        <v>1323</v>
      </c>
      <c r="D360" s="1" t="s">
        <v>286</v>
      </c>
    </row>
    <row r="361" spans="1:4" x14ac:dyDescent="0.35">
      <c r="A361" s="4">
        <v>46129</v>
      </c>
      <c r="B361" s="1" t="s">
        <v>5</v>
      </c>
      <c r="C361" s="7">
        <v>410</v>
      </c>
      <c r="D361" s="1" t="s">
        <v>313</v>
      </c>
    </row>
    <row r="362" spans="1:4" x14ac:dyDescent="0.35">
      <c r="A362" s="4">
        <v>46130</v>
      </c>
      <c r="B362" s="1" t="s">
        <v>27</v>
      </c>
      <c r="C362" s="7">
        <v>70450</v>
      </c>
      <c r="D362" s="1" t="s">
        <v>314</v>
      </c>
    </row>
    <row r="363" spans="1:4" x14ac:dyDescent="0.35">
      <c r="A363" s="4">
        <v>46130</v>
      </c>
      <c r="B363" s="1" t="s">
        <v>29</v>
      </c>
      <c r="C363" s="7">
        <v>3300</v>
      </c>
      <c r="D363" s="1" t="s">
        <v>315</v>
      </c>
    </row>
    <row r="364" spans="1:4" x14ac:dyDescent="0.35">
      <c r="A364" s="4">
        <v>46130</v>
      </c>
      <c r="B364" s="1" t="s">
        <v>29</v>
      </c>
      <c r="C364" s="7">
        <v>100</v>
      </c>
      <c r="D364" s="1" t="s">
        <v>193</v>
      </c>
    </row>
    <row r="365" spans="1:4" x14ac:dyDescent="0.35">
      <c r="A365" s="4">
        <v>46130</v>
      </c>
      <c r="B365" s="1" t="s">
        <v>30</v>
      </c>
      <c r="C365" s="7">
        <v>4000</v>
      </c>
      <c r="D365" s="1" t="s">
        <v>316</v>
      </c>
    </row>
    <row r="366" spans="1:4" x14ac:dyDescent="0.35">
      <c r="A366" s="4">
        <v>46130</v>
      </c>
      <c r="B366" s="1" t="s">
        <v>317</v>
      </c>
      <c r="C366" s="7">
        <v>16000</v>
      </c>
      <c r="D366" s="1" t="s">
        <v>318</v>
      </c>
    </row>
    <row r="367" spans="1:4" x14ac:dyDescent="0.35">
      <c r="A367" s="4">
        <v>46130</v>
      </c>
      <c r="B367" s="1" t="s">
        <v>209</v>
      </c>
      <c r="C367" s="7">
        <v>61000</v>
      </c>
      <c r="D367" s="1" t="s">
        <v>319</v>
      </c>
    </row>
    <row r="368" spans="1:4" x14ac:dyDescent="0.35">
      <c r="A368" s="4">
        <v>46134</v>
      </c>
      <c r="B368" s="1" t="s">
        <v>27</v>
      </c>
      <c r="C368" s="7">
        <v>10000</v>
      </c>
      <c r="D368" s="1" t="s">
        <v>321</v>
      </c>
    </row>
    <row r="369" spans="1:4" x14ac:dyDescent="0.35">
      <c r="A369" s="4">
        <v>46136</v>
      </c>
      <c r="B369" s="1" t="s">
        <v>35</v>
      </c>
      <c r="C369" s="7">
        <v>1305</v>
      </c>
      <c r="D369" s="1" t="s">
        <v>286</v>
      </c>
    </row>
    <row r="370" spans="1:4" x14ac:dyDescent="0.35">
      <c r="A370" s="4">
        <v>46137</v>
      </c>
      <c r="B370" s="1" t="s">
        <v>27</v>
      </c>
      <c r="C370" s="7">
        <v>17825</v>
      </c>
      <c r="D370" s="1" t="s">
        <v>248</v>
      </c>
    </row>
    <row r="371" spans="1:4" x14ac:dyDescent="0.35">
      <c r="A371" s="4">
        <v>46137</v>
      </c>
      <c r="B371" s="1" t="s">
        <v>30</v>
      </c>
      <c r="C371" s="7">
        <v>1000</v>
      </c>
      <c r="D371" s="1" t="s">
        <v>322</v>
      </c>
    </row>
    <row r="372" spans="1:4" x14ac:dyDescent="0.35">
      <c r="A372" s="4">
        <v>46137</v>
      </c>
      <c r="B372" s="1" t="s">
        <v>26</v>
      </c>
      <c r="C372" s="7">
        <v>1000</v>
      </c>
      <c r="D372" s="1" t="s">
        <v>323</v>
      </c>
    </row>
    <row r="373" spans="1:4" x14ac:dyDescent="0.35">
      <c r="A373" s="4">
        <v>46140</v>
      </c>
      <c r="B373" s="1" t="s">
        <v>27</v>
      </c>
      <c r="C373" s="7">
        <v>2000</v>
      </c>
      <c r="D373" s="1" t="s">
        <v>324</v>
      </c>
    </row>
    <row r="374" spans="1:4" x14ac:dyDescent="0.35">
      <c r="A374" s="4">
        <v>46142</v>
      </c>
      <c r="B374" s="1" t="s">
        <v>219</v>
      </c>
      <c r="C374" s="7">
        <v>2500</v>
      </c>
      <c r="D374" s="1" t="s">
        <v>325</v>
      </c>
    </row>
    <row r="375" spans="1:4" x14ac:dyDescent="0.35">
      <c r="A375" s="4">
        <v>46144</v>
      </c>
      <c r="B375" s="1" t="s">
        <v>27</v>
      </c>
      <c r="C375" s="7">
        <v>21725</v>
      </c>
      <c r="D375" s="1" t="s">
        <v>248</v>
      </c>
    </row>
    <row r="376" spans="1:4" x14ac:dyDescent="0.35">
      <c r="A376" s="4">
        <v>46144</v>
      </c>
      <c r="B376" s="1" t="s">
        <v>26</v>
      </c>
      <c r="C376" s="7">
        <v>24500</v>
      </c>
      <c r="D376" s="1" t="s">
        <v>326</v>
      </c>
    </row>
    <row r="377" spans="1:4" x14ac:dyDescent="0.35">
      <c r="A377" s="4">
        <v>46144</v>
      </c>
      <c r="B377" s="1" t="s">
        <v>32</v>
      </c>
      <c r="C377" s="7">
        <v>10000</v>
      </c>
      <c r="D377" s="1" t="s">
        <v>327</v>
      </c>
    </row>
    <row r="378" spans="1:4" x14ac:dyDescent="0.35">
      <c r="A378" s="4">
        <v>46149</v>
      </c>
      <c r="B378" s="1" t="s">
        <v>253</v>
      </c>
      <c r="C378" s="7">
        <v>50000</v>
      </c>
      <c r="D378" s="1" t="s">
        <v>329</v>
      </c>
    </row>
    <row r="379" spans="1:4" x14ac:dyDescent="0.35">
      <c r="A379" s="4">
        <v>46149</v>
      </c>
      <c r="B379" s="1" t="s">
        <v>35</v>
      </c>
      <c r="C379" s="7">
        <v>909</v>
      </c>
      <c r="D379" s="1" t="s">
        <v>286</v>
      </c>
    </row>
    <row r="380" spans="1:4" x14ac:dyDescent="0.35">
      <c r="A380" s="4">
        <v>46150</v>
      </c>
      <c r="B380" s="1" t="s">
        <v>26</v>
      </c>
      <c r="C380" s="7">
        <v>50000</v>
      </c>
      <c r="D380" s="1" t="s">
        <v>330</v>
      </c>
    </row>
    <row r="381" spans="1:4" x14ac:dyDescent="0.35">
      <c r="A381" s="4">
        <v>46151</v>
      </c>
      <c r="B381" s="1" t="s">
        <v>27</v>
      </c>
      <c r="C381" s="7">
        <v>10700</v>
      </c>
      <c r="D381" s="1" t="s">
        <v>331</v>
      </c>
    </row>
    <row r="382" spans="1:4" x14ac:dyDescent="0.35">
      <c r="A382" s="4">
        <v>46151</v>
      </c>
      <c r="B382" s="1" t="s">
        <v>30</v>
      </c>
      <c r="C382" s="7">
        <v>5000</v>
      </c>
      <c r="D382" s="1" t="s">
        <v>332</v>
      </c>
    </row>
    <row r="383" spans="1:4" x14ac:dyDescent="0.35">
      <c r="A383" s="4">
        <v>46151</v>
      </c>
      <c r="B383" s="1" t="s">
        <v>32</v>
      </c>
      <c r="C383" s="7">
        <v>10000</v>
      </c>
      <c r="D383" s="1" t="s">
        <v>333</v>
      </c>
    </row>
    <row r="384" spans="1:4" x14ac:dyDescent="0.35">
      <c r="A384" s="4">
        <v>46151</v>
      </c>
      <c r="B384" s="1" t="s">
        <v>275</v>
      </c>
      <c r="C384" s="7">
        <v>5000</v>
      </c>
      <c r="D384" s="1" t="s">
        <v>296</v>
      </c>
    </row>
    <row r="385" spans="1:4" x14ac:dyDescent="0.35">
      <c r="A385" s="4">
        <v>46151</v>
      </c>
      <c r="B385" s="1" t="s">
        <v>26</v>
      </c>
      <c r="C385" s="7">
        <v>178000</v>
      </c>
      <c r="D385" s="1" t="s">
        <v>330</v>
      </c>
    </row>
    <row r="386" spans="1:4" x14ac:dyDescent="0.35">
      <c r="A386" s="4">
        <v>46151</v>
      </c>
      <c r="B386" s="1" t="s">
        <v>253</v>
      </c>
      <c r="C386" s="7">
        <v>20000</v>
      </c>
      <c r="D386" s="1" t="s">
        <v>329</v>
      </c>
    </row>
    <row r="387" spans="1:4" x14ac:dyDescent="0.35">
      <c r="A387" s="4">
        <v>46151</v>
      </c>
      <c r="B387" s="1" t="s">
        <v>26</v>
      </c>
      <c r="C387" s="7">
        <v>50000</v>
      </c>
      <c r="D387" s="1" t="s">
        <v>334</v>
      </c>
    </row>
    <row r="388" spans="1:4" x14ac:dyDescent="0.35">
      <c r="A388" s="4">
        <v>46151</v>
      </c>
      <c r="B388" s="1" t="s">
        <v>26</v>
      </c>
      <c r="C388" s="7">
        <v>25000</v>
      </c>
      <c r="D388" s="1" t="s">
        <v>179</v>
      </c>
    </row>
    <row r="389" spans="1:4" x14ac:dyDescent="0.35">
      <c r="A389" s="4">
        <v>46151</v>
      </c>
      <c r="B389" s="1" t="s">
        <v>219</v>
      </c>
      <c r="C389" s="7">
        <v>1000</v>
      </c>
      <c r="D389" s="1" t="s">
        <v>335</v>
      </c>
    </row>
    <row r="390" spans="1:4" x14ac:dyDescent="0.35">
      <c r="A390" s="4">
        <v>46153</v>
      </c>
      <c r="B390" s="1" t="s">
        <v>125</v>
      </c>
      <c r="C390" s="7">
        <v>700</v>
      </c>
      <c r="D390" s="1" t="s">
        <v>302</v>
      </c>
    </row>
    <row r="391" spans="1:4" x14ac:dyDescent="0.35">
      <c r="A391" s="4">
        <v>46154</v>
      </c>
      <c r="B391" s="1" t="s">
        <v>40</v>
      </c>
      <c r="C391" s="7">
        <v>3200</v>
      </c>
      <c r="D391" s="1" t="s">
        <v>336</v>
      </c>
    </row>
    <row r="392" spans="1:4" x14ac:dyDescent="0.35">
      <c r="A392" s="4">
        <v>46154</v>
      </c>
      <c r="B392" s="1" t="s">
        <v>337</v>
      </c>
      <c r="C392" s="7">
        <v>2800</v>
      </c>
      <c r="D392" s="1" t="s">
        <v>338</v>
      </c>
    </row>
    <row r="393" spans="1:4" x14ac:dyDescent="0.35">
      <c r="A393" s="4">
        <v>46154</v>
      </c>
      <c r="B393" s="1" t="s">
        <v>26</v>
      </c>
      <c r="C393" s="7">
        <v>2845</v>
      </c>
      <c r="D393" s="1" t="s">
        <v>339</v>
      </c>
    </row>
    <row r="394" spans="1:4" x14ac:dyDescent="0.35">
      <c r="A394" s="4">
        <v>46155</v>
      </c>
      <c r="B394" s="1" t="s">
        <v>32</v>
      </c>
      <c r="C394" s="7">
        <v>3000</v>
      </c>
      <c r="D394" s="1" t="s">
        <v>333</v>
      </c>
    </row>
    <row r="395" spans="1:4" x14ac:dyDescent="0.35">
      <c r="A395" s="4">
        <v>46158</v>
      </c>
      <c r="B395" s="1" t="s">
        <v>26</v>
      </c>
      <c r="C395" s="7">
        <v>2675</v>
      </c>
      <c r="D395" s="1" t="s">
        <v>179</v>
      </c>
    </row>
    <row r="396" spans="1:4" x14ac:dyDescent="0.35">
      <c r="A396" s="4">
        <v>46158</v>
      </c>
      <c r="B396" s="1" t="s">
        <v>26</v>
      </c>
      <c r="C396" s="7">
        <v>30000</v>
      </c>
      <c r="D396" s="1" t="s">
        <v>340</v>
      </c>
    </row>
    <row r="397" spans="1:4" x14ac:dyDescent="0.35">
      <c r="A397" s="4">
        <v>46158</v>
      </c>
      <c r="B397" s="1" t="s">
        <v>30</v>
      </c>
      <c r="C397" s="7">
        <v>12000</v>
      </c>
      <c r="D397" s="1" t="s">
        <v>341</v>
      </c>
    </row>
    <row r="398" spans="1:4" x14ac:dyDescent="0.35">
      <c r="A398" s="4">
        <v>46158</v>
      </c>
      <c r="B398" s="1" t="s">
        <v>32</v>
      </c>
      <c r="C398" s="7">
        <v>5000</v>
      </c>
      <c r="D398" s="1" t="s">
        <v>333</v>
      </c>
    </row>
    <row r="399" spans="1:4" x14ac:dyDescent="0.35">
      <c r="A399" s="4">
        <v>46158</v>
      </c>
      <c r="B399" s="1" t="s">
        <v>275</v>
      </c>
      <c r="C399" s="7">
        <v>5000</v>
      </c>
      <c r="D399" s="1" t="s">
        <v>342</v>
      </c>
    </row>
    <row r="400" spans="1:4" x14ac:dyDescent="0.35">
      <c r="A400" s="4">
        <v>46158</v>
      </c>
      <c r="B400" s="1" t="s">
        <v>343</v>
      </c>
      <c r="C400" s="7">
        <v>20000</v>
      </c>
      <c r="D400" s="1" t="s">
        <v>217</v>
      </c>
    </row>
    <row r="401" spans="1:4" x14ac:dyDescent="0.35">
      <c r="A401" s="4">
        <v>46158</v>
      </c>
      <c r="B401" s="1" t="s">
        <v>26</v>
      </c>
      <c r="C401" s="7">
        <v>50000</v>
      </c>
      <c r="D401" s="1" t="s">
        <v>130</v>
      </c>
    </row>
    <row r="402" spans="1:4" x14ac:dyDescent="0.35">
      <c r="A402" s="4">
        <v>46158</v>
      </c>
      <c r="B402" s="1" t="s">
        <v>219</v>
      </c>
      <c r="C402" s="7">
        <v>3000</v>
      </c>
      <c r="D402" s="1" t="s">
        <v>344</v>
      </c>
    </row>
    <row r="403" spans="1:4" x14ac:dyDescent="0.35">
      <c r="A403" s="4">
        <v>46162</v>
      </c>
      <c r="B403" s="1" t="s">
        <v>27</v>
      </c>
      <c r="C403" s="7">
        <v>2000</v>
      </c>
      <c r="D403" s="1" t="s">
        <v>308</v>
      </c>
    </row>
    <row r="404" spans="1:4" x14ac:dyDescent="0.35">
      <c r="A404" s="4">
        <v>46165</v>
      </c>
      <c r="B404" s="1" t="s">
        <v>27</v>
      </c>
      <c r="C404" s="7">
        <v>59725</v>
      </c>
      <c r="D404" s="1" t="s">
        <v>345</v>
      </c>
    </row>
    <row r="405" spans="1:4" x14ac:dyDescent="0.35">
      <c r="A405" s="4">
        <v>46165</v>
      </c>
      <c r="B405" s="1" t="s">
        <v>337</v>
      </c>
      <c r="C405" s="7">
        <v>7500</v>
      </c>
      <c r="D405" s="1" t="s">
        <v>346</v>
      </c>
    </row>
    <row r="406" spans="1:4" x14ac:dyDescent="0.35">
      <c r="A406" s="4">
        <v>46165</v>
      </c>
      <c r="B406" s="1" t="s">
        <v>37</v>
      </c>
      <c r="C406" s="7">
        <v>2400</v>
      </c>
      <c r="D406" s="1" t="s">
        <v>347</v>
      </c>
    </row>
    <row r="407" spans="1:4" x14ac:dyDescent="0.35">
      <c r="A407" s="4">
        <v>46169</v>
      </c>
      <c r="B407" s="1" t="s">
        <v>27</v>
      </c>
      <c r="C407" s="7">
        <v>2000</v>
      </c>
      <c r="D407" s="1" t="s">
        <v>83</v>
      </c>
    </row>
    <row r="408" spans="1:4" x14ac:dyDescent="0.35">
      <c r="A408" s="4">
        <v>46172</v>
      </c>
      <c r="B408" s="1" t="s">
        <v>27</v>
      </c>
      <c r="C408" s="7">
        <v>24100</v>
      </c>
      <c r="D408" s="1" t="s">
        <v>348</v>
      </c>
    </row>
    <row r="409" spans="1:4" x14ac:dyDescent="0.35">
      <c r="A409" s="4">
        <v>46172</v>
      </c>
      <c r="B409" s="1" t="s">
        <v>30</v>
      </c>
      <c r="C409" s="7">
        <v>2000</v>
      </c>
      <c r="D409" s="1" t="s">
        <v>341</v>
      </c>
    </row>
    <row r="410" spans="1:4" x14ac:dyDescent="0.35">
      <c r="A410" s="4">
        <v>46176</v>
      </c>
      <c r="B410" s="1" t="s">
        <v>27</v>
      </c>
      <c r="C410" s="7">
        <v>3500</v>
      </c>
      <c r="D410" s="1" t="s">
        <v>83</v>
      </c>
    </row>
    <row r="411" spans="1:4" x14ac:dyDescent="0.35">
      <c r="A411" s="4">
        <v>46177</v>
      </c>
      <c r="B411" s="1" t="s">
        <v>40</v>
      </c>
      <c r="C411" s="7">
        <v>630</v>
      </c>
      <c r="D411" s="1" t="s">
        <v>349</v>
      </c>
    </row>
    <row r="412" spans="1:4" x14ac:dyDescent="0.35">
      <c r="A412" s="4">
        <v>46179</v>
      </c>
      <c r="B412" s="1" t="s">
        <v>27</v>
      </c>
      <c r="C412" s="7">
        <v>31600</v>
      </c>
      <c r="D412" s="1" t="s">
        <v>248</v>
      </c>
    </row>
    <row r="413" spans="1:4" x14ac:dyDescent="0.35">
      <c r="A413" s="4">
        <v>46179</v>
      </c>
      <c r="B413" s="1" t="s">
        <v>350</v>
      </c>
      <c r="C413" s="7">
        <v>10000</v>
      </c>
      <c r="D413" s="1" t="s">
        <v>351</v>
      </c>
    </row>
    <row r="414" spans="1:4" x14ac:dyDescent="0.35">
      <c r="A414" s="4">
        <v>46179</v>
      </c>
      <c r="B414" s="1" t="s">
        <v>30</v>
      </c>
      <c r="C414" s="7">
        <v>6000</v>
      </c>
      <c r="D414" s="1" t="s">
        <v>352</v>
      </c>
    </row>
    <row r="415" spans="1:4" x14ac:dyDescent="0.35">
      <c r="A415" s="4">
        <v>46179</v>
      </c>
      <c r="B415" s="1" t="s">
        <v>209</v>
      </c>
      <c r="C415" s="7">
        <v>10000</v>
      </c>
      <c r="D415" s="1" t="s">
        <v>353</v>
      </c>
    </row>
    <row r="416" spans="1:4" x14ac:dyDescent="0.35">
      <c r="A416" s="4">
        <v>46179</v>
      </c>
      <c r="B416" s="1" t="s">
        <v>26</v>
      </c>
      <c r="C416" s="7">
        <v>11500</v>
      </c>
      <c r="D416" s="1" t="s">
        <v>354</v>
      </c>
    </row>
    <row r="417" spans="1:4" x14ac:dyDescent="0.35">
      <c r="A417" s="5">
        <v>46179</v>
      </c>
      <c r="B417" s="30" t="s">
        <v>26</v>
      </c>
      <c r="C417" s="8">
        <v>30000</v>
      </c>
      <c r="D417" s="30" t="s">
        <v>355</v>
      </c>
    </row>
  </sheetData>
  <autoFilter ref="A1:D42" xr:uid="{E716AC5E-A74E-4151-8738-1C2F14C945B6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1A9EA4-211D-4619-B47C-CA890DA4CB44}">
          <x14:formula1>
            <xm:f>DataSource!$A$1:$A$32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1F4E-AA4E-4ECE-A323-49517B1EF568}">
  <dimension ref="A1:A31"/>
  <sheetViews>
    <sheetView topLeftCell="A3" workbookViewId="0">
      <selection activeCell="D25" sqref="D25"/>
    </sheetView>
  </sheetViews>
  <sheetFormatPr defaultRowHeight="14.5" x14ac:dyDescent="0.35"/>
  <cols>
    <col min="1" max="1" width="19.453125" bestFit="1" customWidth="1"/>
  </cols>
  <sheetData>
    <row r="1" spans="1:1" x14ac:dyDescent="0.35">
      <c r="A1" s="1" t="s">
        <v>24</v>
      </c>
    </row>
    <row r="2" spans="1:1" x14ac:dyDescent="0.35">
      <c r="A2" s="1" t="s">
        <v>25</v>
      </c>
    </row>
    <row r="3" spans="1:1" x14ac:dyDescent="0.35">
      <c r="A3" s="1" t="s">
        <v>26</v>
      </c>
    </row>
    <row r="4" spans="1:1" x14ac:dyDescent="0.35">
      <c r="A4" s="1" t="s">
        <v>27</v>
      </c>
    </row>
    <row r="5" spans="1:1" x14ac:dyDescent="0.35">
      <c r="A5" s="1" t="s">
        <v>28</v>
      </c>
    </row>
    <row r="6" spans="1:1" x14ac:dyDescent="0.35">
      <c r="A6" s="1" t="s">
        <v>29</v>
      </c>
    </row>
    <row r="7" spans="1:1" x14ac:dyDescent="0.35">
      <c r="A7" s="1" t="s">
        <v>30</v>
      </c>
    </row>
    <row r="8" spans="1:1" x14ac:dyDescent="0.35">
      <c r="A8" s="1" t="s">
        <v>31</v>
      </c>
    </row>
    <row r="9" spans="1:1" x14ac:dyDescent="0.35">
      <c r="A9" s="1" t="s">
        <v>32</v>
      </c>
    </row>
    <row r="10" spans="1:1" x14ac:dyDescent="0.35">
      <c r="A10" s="1" t="s">
        <v>275</v>
      </c>
    </row>
    <row r="11" spans="1:1" x14ac:dyDescent="0.35">
      <c r="A11" s="1" t="s">
        <v>350</v>
      </c>
    </row>
    <row r="12" spans="1:1" x14ac:dyDescent="0.35">
      <c r="A12" s="1" t="s">
        <v>33</v>
      </c>
    </row>
    <row r="13" spans="1:1" x14ac:dyDescent="0.35">
      <c r="A13" s="1" t="s">
        <v>34</v>
      </c>
    </row>
    <row r="14" spans="1:1" x14ac:dyDescent="0.35">
      <c r="A14" s="1" t="s">
        <v>35</v>
      </c>
    </row>
    <row r="15" spans="1:1" x14ac:dyDescent="0.35">
      <c r="A15" s="1" t="s">
        <v>5</v>
      </c>
    </row>
    <row r="16" spans="1:1" x14ac:dyDescent="0.35">
      <c r="A16" s="1" t="s">
        <v>36</v>
      </c>
    </row>
    <row r="17" spans="1:1" x14ac:dyDescent="0.35">
      <c r="A17" s="1" t="s">
        <v>37</v>
      </c>
    </row>
    <row r="18" spans="1:1" x14ac:dyDescent="0.35">
      <c r="A18" s="1" t="s">
        <v>38</v>
      </c>
    </row>
    <row r="19" spans="1:1" x14ac:dyDescent="0.35">
      <c r="A19" s="1" t="s">
        <v>39</v>
      </c>
    </row>
    <row r="20" spans="1:1" x14ac:dyDescent="0.35">
      <c r="A20" s="1" t="s">
        <v>40</v>
      </c>
    </row>
    <row r="21" spans="1:1" x14ac:dyDescent="0.35">
      <c r="A21" s="1" t="s">
        <v>41</v>
      </c>
    </row>
    <row r="22" spans="1:1" x14ac:dyDescent="0.35">
      <c r="A22" s="1" t="s">
        <v>52</v>
      </c>
    </row>
    <row r="23" spans="1:1" x14ac:dyDescent="0.35">
      <c r="A23" s="1" t="s">
        <v>84</v>
      </c>
    </row>
    <row r="24" spans="1:1" x14ac:dyDescent="0.35">
      <c r="A24" s="1" t="s">
        <v>110</v>
      </c>
    </row>
    <row r="25" spans="1:1" x14ac:dyDescent="0.35">
      <c r="A25" s="1" t="s">
        <v>125</v>
      </c>
    </row>
    <row r="26" spans="1:1" x14ac:dyDescent="0.35">
      <c r="A26" s="1" t="s">
        <v>209</v>
      </c>
    </row>
    <row r="27" spans="1:1" x14ac:dyDescent="0.35">
      <c r="A27" s="1" t="s">
        <v>219</v>
      </c>
    </row>
    <row r="28" spans="1:1" x14ac:dyDescent="0.35">
      <c r="A28" s="1" t="s">
        <v>253</v>
      </c>
    </row>
    <row r="29" spans="1:1" x14ac:dyDescent="0.35">
      <c r="A29" s="28" t="s">
        <v>317</v>
      </c>
    </row>
    <row r="30" spans="1:1" x14ac:dyDescent="0.35">
      <c r="A30" s="28" t="s">
        <v>337</v>
      </c>
    </row>
    <row r="31" spans="1:1" x14ac:dyDescent="0.35">
      <c r="A31" s="28" t="s">
        <v>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5D36-3AAD-4012-B629-BC62E5C1A2B7}">
  <dimension ref="A3:E29"/>
  <sheetViews>
    <sheetView topLeftCell="A7" workbookViewId="0">
      <selection activeCell="E17" sqref="E17"/>
    </sheetView>
  </sheetViews>
  <sheetFormatPr defaultRowHeight="14.5" x14ac:dyDescent="0.35"/>
  <cols>
    <col min="1" max="1" width="19.453125" bestFit="1" customWidth="1"/>
    <col min="2" max="2" width="13" bestFit="1" customWidth="1"/>
    <col min="4" max="4" width="11.7265625" bestFit="1" customWidth="1"/>
    <col min="5" max="5" width="12.7265625" bestFit="1" customWidth="1"/>
  </cols>
  <sheetData>
    <row r="3" spans="1:5" x14ac:dyDescent="0.35">
      <c r="A3" s="16" t="s">
        <v>18</v>
      </c>
      <c r="B3" s="1" t="s">
        <v>17</v>
      </c>
    </row>
    <row r="4" spans="1:5" x14ac:dyDescent="0.35">
      <c r="A4" s="15" t="s">
        <v>26</v>
      </c>
      <c r="B4" s="19">
        <v>1901245</v>
      </c>
    </row>
    <row r="5" spans="1:5" x14ac:dyDescent="0.35">
      <c r="A5" s="15" t="s">
        <v>25</v>
      </c>
      <c r="B5" s="19">
        <v>13820</v>
      </c>
    </row>
    <row r="6" spans="1:5" x14ac:dyDescent="0.35">
      <c r="A6" s="15" t="s">
        <v>36</v>
      </c>
      <c r="B6" s="19">
        <v>20700</v>
      </c>
    </row>
    <row r="7" spans="1:5" x14ac:dyDescent="0.35">
      <c r="A7" s="15" t="s">
        <v>24</v>
      </c>
      <c r="B7" s="19">
        <v>11710</v>
      </c>
    </row>
    <row r="8" spans="1:5" x14ac:dyDescent="0.35">
      <c r="A8" s="15" t="s">
        <v>40</v>
      </c>
      <c r="B8" s="19">
        <v>22130</v>
      </c>
    </row>
    <row r="9" spans="1:5" x14ac:dyDescent="0.35">
      <c r="A9" s="15" t="s">
        <v>5</v>
      </c>
      <c r="B9" s="19">
        <v>24405</v>
      </c>
    </row>
    <row r="10" spans="1:5" x14ac:dyDescent="0.35">
      <c r="A10" s="15" t="s">
        <v>27</v>
      </c>
      <c r="B10" s="19">
        <v>825100</v>
      </c>
    </row>
    <row r="11" spans="1:5" x14ac:dyDescent="0.35">
      <c r="A11" s="15" t="s">
        <v>29</v>
      </c>
      <c r="B11" s="19">
        <v>288425</v>
      </c>
    </row>
    <row r="12" spans="1:5" x14ac:dyDescent="0.35">
      <c r="A12" s="15" t="s">
        <v>35</v>
      </c>
      <c r="B12" s="19">
        <v>23780</v>
      </c>
    </row>
    <row r="13" spans="1:5" x14ac:dyDescent="0.35">
      <c r="A13" s="15" t="s">
        <v>28</v>
      </c>
      <c r="B13" s="19">
        <v>83000</v>
      </c>
    </row>
    <row r="14" spans="1:5" x14ac:dyDescent="0.35">
      <c r="A14" s="15" t="s">
        <v>37</v>
      </c>
      <c r="B14" s="19">
        <v>51410</v>
      </c>
    </row>
    <row r="15" spans="1:5" x14ac:dyDescent="0.35">
      <c r="A15" s="15" t="s">
        <v>39</v>
      </c>
      <c r="B15" s="19">
        <v>10730</v>
      </c>
    </row>
    <row r="16" spans="1:5" x14ac:dyDescent="0.35">
      <c r="A16" s="29" t="s">
        <v>52</v>
      </c>
      <c r="B16" s="19">
        <v>19500</v>
      </c>
      <c r="D16" s="20">
        <f>SUM(B16:B18)</f>
        <v>687250</v>
      </c>
      <c r="E16" s="20">
        <f>D16+150000+200000</f>
        <v>1037250</v>
      </c>
    </row>
    <row r="17" spans="1:5" x14ac:dyDescent="0.35">
      <c r="A17" s="29" t="s">
        <v>84</v>
      </c>
      <c r="B17" s="19">
        <v>39000</v>
      </c>
      <c r="E17" s="20">
        <f>E16/2369</f>
        <v>437.8429717180245</v>
      </c>
    </row>
    <row r="18" spans="1:5" x14ac:dyDescent="0.35">
      <c r="A18" s="29" t="s">
        <v>110</v>
      </c>
      <c r="B18" s="19">
        <v>628750</v>
      </c>
    </row>
    <row r="19" spans="1:5" x14ac:dyDescent="0.35">
      <c r="A19" s="15" t="s">
        <v>125</v>
      </c>
      <c r="B19" s="19">
        <v>9800</v>
      </c>
    </row>
    <row r="20" spans="1:5" x14ac:dyDescent="0.35">
      <c r="A20" s="15" t="s">
        <v>41</v>
      </c>
      <c r="B20" s="19">
        <v>1400</v>
      </c>
    </row>
    <row r="21" spans="1:5" x14ac:dyDescent="0.35">
      <c r="A21" s="15" t="s">
        <v>30</v>
      </c>
      <c r="B21" s="19">
        <v>32500</v>
      </c>
    </row>
    <row r="22" spans="1:5" x14ac:dyDescent="0.35">
      <c r="A22" s="15" t="s">
        <v>209</v>
      </c>
      <c r="B22" s="19">
        <v>106000</v>
      </c>
    </row>
    <row r="23" spans="1:5" x14ac:dyDescent="0.35">
      <c r="A23" s="15" t="s">
        <v>219</v>
      </c>
      <c r="B23" s="19">
        <v>11000</v>
      </c>
    </row>
    <row r="24" spans="1:5" x14ac:dyDescent="0.35">
      <c r="A24" s="15" t="s">
        <v>253</v>
      </c>
      <c r="B24" s="19">
        <v>208000</v>
      </c>
    </row>
    <row r="25" spans="1:5" x14ac:dyDescent="0.35">
      <c r="A25" s="15" t="s">
        <v>275</v>
      </c>
      <c r="B25" s="19">
        <v>30000</v>
      </c>
    </row>
    <row r="26" spans="1:5" x14ac:dyDescent="0.35">
      <c r="A26" s="15" t="s">
        <v>317</v>
      </c>
      <c r="B26" s="19">
        <v>16000</v>
      </c>
    </row>
    <row r="27" spans="1:5" x14ac:dyDescent="0.35">
      <c r="A27" s="15" t="s">
        <v>32</v>
      </c>
      <c r="B27" s="19">
        <v>23000</v>
      </c>
    </row>
    <row r="28" spans="1:5" x14ac:dyDescent="0.35">
      <c r="A28" s="15" t="s">
        <v>337</v>
      </c>
      <c r="B28" s="19">
        <v>2800</v>
      </c>
    </row>
    <row r="29" spans="1:5" x14ac:dyDescent="0.35">
      <c r="A29" s="10" t="s">
        <v>12</v>
      </c>
      <c r="B29" s="20">
        <v>4404205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101D-E46C-4C9D-BBC1-7A183001E142}">
  <dimension ref="A1:D7"/>
  <sheetViews>
    <sheetView workbookViewId="0">
      <selection activeCell="A3" sqref="A3:D7"/>
    </sheetView>
  </sheetViews>
  <sheetFormatPr defaultRowHeight="14.5" x14ac:dyDescent="0.35"/>
  <cols>
    <col min="1" max="1" width="10.08984375" bestFit="1" customWidth="1"/>
    <col min="2" max="2" width="17.81640625" bestFit="1" customWidth="1"/>
    <col min="3" max="3" width="10.90625" bestFit="1" customWidth="1"/>
    <col min="4" max="4" width="42.08984375" bestFit="1" customWidth="1"/>
  </cols>
  <sheetData>
    <row r="1" spans="1:4" x14ac:dyDescent="0.35">
      <c r="A1" s="14" t="s">
        <v>15</v>
      </c>
    </row>
    <row r="3" spans="1:4" x14ac:dyDescent="0.35">
      <c r="A3" t="s">
        <v>0</v>
      </c>
      <c r="B3" t="s">
        <v>4</v>
      </c>
      <c r="C3" t="s">
        <v>1</v>
      </c>
      <c r="D3" t="s">
        <v>3</v>
      </c>
    </row>
    <row r="4" spans="1:4" x14ac:dyDescent="0.35">
      <c r="A4" s="13">
        <v>45793</v>
      </c>
      <c r="B4" t="s">
        <v>9</v>
      </c>
      <c r="C4">
        <v>23900</v>
      </c>
      <c r="D4" t="s">
        <v>14</v>
      </c>
    </row>
    <row r="5" spans="1:4" x14ac:dyDescent="0.35">
      <c r="A5" s="13">
        <v>45783</v>
      </c>
      <c r="B5" t="s">
        <v>9</v>
      </c>
      <c r="C5">
        <v>5000</v>
      </c>
      <c r="D5" t="s">
        <v>11</v>
      </c>
    </row>
    <row r="6" spans="1:4" x14ac:dyDescent="0.35">
      <c r="A6" s="13">
        <v>45781</v>
      </c>
      <c r="B6" t="s">
        <v>9</v>
      </c>
      <c r="C6">
        <v>75000</v>
      </c>
      <c r="D6" t="s">
        <v>10</v>
      </c>
    </row>
    <row r="7" spans="1:4" x14ac:dyDescent="0.35">
      <c r="A7" s="13">
        <v>45777</v>
      </c>
      <c r="B7" t="s">
        <v>9</v>
      </c>
      <c r="C7">
        <v>5000</v>
      </c>
      <c r="D7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Payment Received</vt:lpstr>
      <vt:lpstr>Expenses</vt:lpstr>
      <vt:lpstr>DataSource</vt:lpstr>
      <vt:lpstr>Overview</vt:lpstr>
      <vt:lpstr>Detail1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</dc:creator>
  <cp:lastModifiedBy>Tamilselvan Jayabalan</cp:lastModifiedBy>
  <dcterms:created xsi:type="dcterms:W3CDTF">2015-06-05T18:17:20Z</dcterms:created>
  <dcterms:modified xsi:type="dcterms:W3CDTF">2026-06-06T12:04:49Z</dcterms:modified>
</cp:coreProperties>
</file>