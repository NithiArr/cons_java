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SK Residence - Sundarapuram/Accounts/"/>
    </mc:Choice>
  </mc:AlternateContent>
  <xr:revisionPtr revIDLastSave="74" documentId="13_ncr:1_{1FD95DAB-661B-4CC7-B0BF-1BFBE5BCE6A8}" xr6:coauthVersionLast="47" xr6:coauthVersionMax="47" xr10:uidLastSave="{70A50B16-9403-42D4-9027-B725EE2EDA5E}"/>
  <bookViews>
    <workbookView xWindow="-110" yWindow="-110" windowWidth="19420" windowHeight="11500" firstSheet="1" activeTab="4" xr2:uid="{00000000-000D-0000-FFFF-FFFF00000000}"/>
  </bookViews>
  <sheets>
    <sheet name="Material Details" sheetId="1" r:id="rId1"/>
    <sheet name="Reference Table" sheetId="9" r:id="rId2"/>
    <sheet name="Materials Total QTY" sheetId="8" r:id="rId3"/>
    <sheet name="Vendor Balance Sheet" sheetId="5" r:id="rId4"/>
    <sheet name="Payment Details" sheetId="2" r:id="rId5"/>
  </sheets>
  <definedNames>
    <definedName name="_xlnm._FilterDatabase" localSheetId="0" hidden="1">'Material Details'!$A$1:$H$71</definedName>
    <definedName name="_xlnm._FilterDatabase" localSheetId="4" hidden="1">'Payment Details'!$A$1:$F$1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1" i="1" l="1"/>
  <c r="F71" i="1"/>
  <c r="H70" i="1"/>
  <c r="H69" i="1"/>
  <c r="F69" i="1"/>
  <c r="F68" i="1"/>
  <c r="F67" i="1"/>
  <c r="F48" i="1"/>
  <c r="F46" i="1"/>
  <c r="F66" i="1"/>
  <c r="F65" i="1"/>
  <c r="F64" i="1"/>
  <c r="H63" i="1"/>
  <c r="F63" i="1"/>
  <c r="F62" i="1"/>
  <c r="H61" i="1"/>
  <c r="F61" i="1"/>
  <c r="F60" i="1"/>
  <c r="H59" i="1"/>
  <c r="F59" i="1"/>
  <c r="H58" i="1"/>
  <c r="F58" i="1"/>
  <c r="H57" i="1"/>
  <c r="F57" i="1"/>
  <c r="H56" i="1"/>
  <c r="F56" i="1"/>
  <c r="H55" i="1"/>
  <c r="F55" i="1"/>
  <c r="H53" i="1"/>
  <c r="H54" i="1"/>
  <c r="F54" i="1"/>
  <c r="F53" i="1"/>
  <c r="H52" i="1"/>
  <c r="F52" i="1"/>
  <c r="F51" i="1"/>
  <c r="H50" i="1"/>
  <c r="F50" i="1" l="1"/>
  <c r="H49" i="1"/>
  <c r="F49" i="1"/>
  <c r="H47" i="1"/>
  <c r="F47" i="1"/>
  <c r="H45" i="1"/>
  <c r="F45" i="1"/>
  <c r="H44" i="1"/>
  <c r="F44" i="1"/>
  <c r="H43" i="1"/>
  <c r="F43" i="1"/>
  <c r="F34" i="1"/>
  <c r="H42" i="1"/>
  <c r="F42" i="1"/>
  <c r="H41" i="1"/>
  <c r="F41" i="1"/>
  <c r="H40" i="1"/>
  <c r="F40" i="1"/>
  <c r="H39" i="1"/>
  <c r="F39" i="1"/>
  <c r="H38" i="1"/>
  <c r="F38" i="1"/>
  <c r="F37" i="1"/>
  <c r="H36" i="1"/>
  <c r="F36" i="1"/>
  <c r="H35" i="1"/>
  <c r="F35" i="1"/>
  <c r="F33" i="1"/>
  <c r="H32" i="1"/>
  <c r="F32" i="1"/>
  <c r="H31" i="1"/>
  <c r="F31" i="1"/>
  <c r="H30" i="1"/>
  <c r="F30" i="1"/>
  <c r="F29" i="1"/>
  <c r="H27" i="1"/>
  <c r="H28" i="1"/>
  <c r="H26" i="1"/>
  <c r="F28" i="1"/>
  <c r="F27" i="1"/>
  <c r="F26" i="1"/>
  <c r="F24" i="1"/>
  <c r="F23" i="1"/>
  <c r="H22" i="1"/>
  <c r="F20" i="1"/>
  <c r="H21" i="1"/>
  <c r="H19" i="1"/>
  <c r="H18" i="1"/>
  <c r="H17" i="1"/>
  <c r="H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1" i="1"/>
  <c r="F22" i="1"/>
  <c r="F2" i="1"/>
  <c r="H12" i="1"/>
  <c r="H13" i="1"/>
  <c r="H14" i="1"/>
  <c r="H11" i="1"/>
  <c r="H15" i="1"/>
  <c r="H8" i="1"/>
  <c r="H10" i="1"/>
  <c r="H9" i="1"/>
  <c r="H7" i="1"/>
  <c r="A2" i="8" a="1"/>
  <c r="A2" i="5" a="1"/>
  <c r="B12" i="5" l="1"/>
  <c r="C12" i="5"/>
  <c r="B14" i="8"/>
  <c r="D14" i="8"/>
  <c r="B15" i="8"/>
  <c r="D15" i="8"/>
  <c r="B16" i="8"/>
  <c r="D16" i="8"/>
  <c r="B11" i="5"/>
  <c r="C11" i="5"/>
  <c r="C7" i="5"/>
  <c r="C9" i="5"/>
  <c r="D9" i="5" s="1"/>
  <c r="C10" i="5"/>
  <c r="B10" i="5"/>
  <c r="D13" i="8"/>
  <c r="B13" i="8"/>
  <c r="D8" i="8"/>
  <c r="D4" i="8"/>
  <c r="D7" i="8"/>
  <c r="D6" i="8"/>
  <c r="D9" i="8"/>
  <c r="B12" i="8"/>
  <c r="D10" i="8"/>
  <c r="D11" i="8"/>
  <c r="D12" i="8"/>
  <c r="A2" i="8"/>
  <c r="C8" i="5"/>
  <c r="B8" i="5"/>
  <c r="B9" i="8"/>
  <c r="B10" i="8"/>
  <c r="B11" i="8"/>
  <c r="B7" i="5"/>
  <c r="C3" i="5"/>
  <c r="C6" i="5"/>
  <c r="B6" i="5"/>
  <c r="B8" i="8"/>
  <c r="B7" i="8"/>
  <c r="B6" i="8"/>
  <c r="B5" i="8"/>
  <c r="B4" i="8"/>
  <c r="B3" i="8"/>
  <c r="A2" i="5"/>
  <c r="C5" i="5"/>
  <c r="B5" i="5"/>
  <c r="D12" i="5" l="1"/>
  <c r="D11" i="5"/>
  <c r="D10" i="5"/>
  <c r="D7" i="5"/>
  <c r="B2" i="8"/>
  <c r="D8" i="5"/>
  <c r="D6" i="5"/>
  <c r="D5" i="5"/>
  <c r="H3" i="1" l="1"/>
  <c r="D3" i="8" s="1"/>
  <c r="H2" i="1"/>
  <c r="D2" i="8" s="1"/>
  <c r="H5" i="1"/>
  <c r="D5" i="8" s="1"/>
  <c r="C4" i="5" l="1"/>
  <c r="B3" i="5"/>
  <c r="D3" i="5" s="1"/>
  <c r="B4" i="5"/>
  <c r="C2" i="5" l="1"/>
  <c r="B2" i="5"/>
  <c r="D4" i="5"/>
  <c r="D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<sst xmlns="http://schemas.openxmlformats.org/spreadsheetml/2006/main" count="427" uniqueCount="80">
  <si>
    <t>DATE</t>
  </si>
  <si>
    <t>CATEGORY</t>
  </si>
  <si>
    <t>COMPANY</t>
  </si>
  <si>
    <t>DEALER</t>
  </si>
  <si>
    <t>QTY</t>
  </si>
  <si>
    <t>RATE</t>
  </si>
  <si>
    <t>AMOUNT PAID</t>
  </si>
  <si>
    <t>MODE OF PAYMENT</t>
  </si>
  <si>
    <t>TOTAL BILL AMOUNT</t>
  </si>
  <si>
    <t>MEASURING IN</t>
  </si>
  <si>
    <t>DESCRPTION</t>
  </si>
  <si>
    <t>STEEL</t>
  </si>
  <si>
    <t>JSW</t>
  </si>
  <si>
    <t>KG</t>
  </si>
  <si>
    <t>CEMENT</t>
  </si>
  <si>
    <t>BAGS</t>
  </si>
  <si>
    <t>NOS</t>
  </si>
  <si>
    <t>RSK</t>
  </si>
  <si>
    <t>UNITS</t>
  </si>
  <si>
    <t>M-SAND</t>
  </si>
  <si>
    <t>VIZAG</t>
  </si>
  <si>
    <t>40 MM METAL</t>
  </si>
  <si>
    <t>PALANI MURUGAN</t>
  </si>
  <si>
    <t>20 MM JALLY</t>
  </si>
  <si>
    <t>VENDOR NAME</t>
  </si>
  <si>
    <t>TOTAL AMOUNT PAID</t>
  </si>
  <si>
    <t>BALANCE AMOUNT</t>
  </si>
  <si>
    <t>GST BILL</t>
  </si>
  <si>
    <t>YES</t>
  </si>
  <si>
    <t>MATERIALS</t>
  </si>
  <si>
    <t>CASH</t>
  </si>
  <si>
    <t>AK STEELS</t>
  </si>
  <si>
    <t>Footing Steel</t>
  </si>
  <si>
    <t>BRICK</t>
  </si>
  <si>
    <t>VEL</t>
  </si>
  <si>
    <t>VEL BRICK</t>
  </si>
  <si>
    <t>NO</t>
  </si>
  <si>
    <t>12000 nos Bricks</t>
  </si>
  <si>
    <t>GRAVEL</t>
  </si>
  <si>
    <t>Cement Payment</t>
  </si>
  <si>
    <t xml:space="preserve">Steel Payment </t>
  </si>
  <si>
    <t>P-SAND</t>
  </si>
  <si>
    <t>ACC</t>
  </si>
  <si>
    <t>Part Payment</t>
  </si>
  <si>
    <t>Brick Payment 12000 nos</t>
  </si>
  <si>
    <t>Steel Part Payment</t>
  </si>
  <si>
    <t>ELECTRICAL</t>
  </si>
  <si>
    <t>KAVERY</t>
  </si>
  <si>
    <t>RAMDEV ELECTRICALS</t>
  </si>
  <si>
    <t>Roof Steel Part Payment</t>
  </si>
  <si>
    <t>Roof pipe payment</t>
  </si>
  <si>
    <t>Brick 5000*12</t>
  </si>
  <si>
    <t>Cement Part Payment</t>
  </si>
  <si>
    <t>UPI</t>
  </si>
  <si>
    <t>Pending Amt</t>
  </si>
  <si>
    <t>roof FF</t>
  </si>
  <si>
    <t>Column1</t>
  </si>
  <si>
    <t>NV ASSOCIATES</t>
  </si>
  <si>
    <t>OTHERS</t>
  </si>
  <si>
    <t>ACB</t>
  </si>
  <si>
    <t>3000 nos brick</t>
  </si>
  <si>
    <t>CHAKRA TRADERS</t>
  </si>
  <si>
    <t>Pending Payment</t>
  </si>
  <si>
    <t>Cash Transferred from Echanari Site</t>
  </si>
  <si>
    <t>Cash given by Nithish</t>
  </si>
  <si>
    <t>BABY CHIPS</t>
  </si>
  <si>
    <t>TOTAL AMOUNT</t>
  </si>
  <si>
    <t>Paid by Selvam</t>
  </si>
  <si>
    <t>BRICK-FLYASH</t>
  </si>
  <si>
    <t>AMARUN FLYASH</t>
  </si>
  <si>
    <t>PAINTING</t>
  </si>
  <si>
    <t>Flyash Payment</t>
  </si>
  <si>
    <t>PLUMBING</t>
  </si>
  <si>
    <t>TILES</t>
  </si>
  <si>
    <t>LAKSHMI CERAMICS</t>
  </si>
  <si>
    <t>Tiles Advance</t>
  </si>
  <si>
    <t>Tiles bal</t>
  </si>
  <si>
    <t>TILES PASTE</t>
  </si>
  <si>
    <t>ICONIC TRADERS</t>
  </si>
  <si>
    <t>paid 11500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</si>
</sst>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₹-4009]\ #,##0.00;[Red][$₹-4009]\ #,##0.00"/>
    <numFmt numFmtId="166" formatCode="dd/mm/yy"/>
    <numFmt numFmtId="167" formatCode="&quot;₹&quot;\ #,##0.00;[Red]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166" fontId="1" fillId="0" borderId="1" xfId="0" applyNumberFormat="1" applyFont="1" applyBorder="1"/>
    <xf numFmtId="166" fontId="0" fillId="0" borderId="0" xfId="0" applyNumberFormat="1"/>
    <xf numFmtId="167" fontId="0" fillId="0" borderId="0" xfId="0" applyNumberFormat="1"/>
    <xf numFmtId="166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167" fontId="1" fillId="0" borderId="1" xfId="0" applyNumberFormat="1" applyFont="1" applyBorder="1"/>
    <xf numFmtId="165" fontId="0" fillId="0" borderId="0" xfId="0" applyNumberFormat="1" applyAlignment="1">
      <alignment horizontal="center" vertical="center"/>
    </xf>
    <xf numFmtId="14" fontId="0" fillId="0" borderId="2" xfId="0" applyNumberFormat="1" applyBorder="1"/>
    <xf numFmtId="165" fontId="0" fillId="0" borderId="3" xfId="0" applyNumberFormat="1" applyBorder="1" applyAlignment="1">
      <alignment horizontal="center" vertical="center"/>
    </xf>
    <xf numFmtId="166" fontId="1" fillId="0" borderId="4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7" fontId="1" fillId="0" borderId="5" xfId="0" applyNumberFormat="1" applyFont="1" applyBorder="1"/>
    <xf numFmtId="165" fontId="1" fillId="0" borderId="6" xfId="0" applyNumberFormat="1" applyFont="1" applyBorder="1" applyAlignment="1">
      <alignment horizontal="center" vertical="center" wrapText="1"/>
    </xf>
    <xf numFmtId="14" fontId="0" fillId="0" borderId="7" xfId="0" applyNumberFormat="1" applyBorder="1"/>
    <xf numFmtId="0" fontId="0" fillId="0" borderId="8" xfId="0" applyBorder="1"/>
    <xf numFmtId="167" fontId="0" fillId="0" borderId="8" xfId="0" applyNumberFormat="1" applyBorder="1"/>
    <xf numFmtId="165" fontId="0" fillId="0" borderId="9" xfId="0" applyNumberFormat="1" applyBorder="1" applyAlignment="1">
      <alignment horizontal="center" vertical="center"/>
    </xf>
    <xf numFmtId="0" fontId="0" fillId="0" borderId="5" xfId="0" applyBorder="1"/>
    <xf numFmtId="0" fontId="0" fillId="0" borderId="10" xfId="0" applyFill="1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009]\ #,##0.00;[Red]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₹&quot;\ #,##0.00;[Red]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D82A3-5B23-4660-9970-660A3AD2E7A3}" name="Table1" displayName="Table1" ref="A1:I71" totalsRowShown="0" headerRowDxfId="12" headerRowBorderDxfId="11" tableBorderDxfId="10" totalsRowBorderDxfId="9">
  <autoFilter ref="A1:I71" xr:uid="{C98D82A3-5B23-4660-9970-660A3AD2E7A3}"/>
  <tableColumns count="9">
    <tableColumn id="1" xr3:uid="{29839E6D-9721-413F-B2A1-257A999278CF}" name="DATE" dataDxfId="8"/>
    <tableColumn id="2" xr3:uid="{4F093DBA-8C7A-4DCC-81B9-13C725A36358}" name="CATEGORY" dataDxfId="7"/>
    <tableColumn id="3" xr3:uid="{B921024A-8480-441B-B476-2B5E7AC21B8A}" name="COMPANY" dataDxfId="6"/>
    <tableColumn id="4" xr3:uid="{B36986A8-4671-40A4-BB91-63283D7A5E95}" name="DEALER" dataDxfId="5"/>
    <tableColumn id="5" xr3:uid="{1C0220CD-A28F-403E-9A30-D3A50503C64D}" name="QTY" dataDxfId="4"/>
    <tableColumn id="6" xr3:uid="{4D1CD0A2-84B1-4D83-B682-660EB291EBBE}" name="MEASURING IN" dataDxfId="3">
      <calculatedColumnFormula>IFERROR(VLOOKUP(B2,'Reference Table'!$A$2:$C$20,2,FALSE),"")</calculatedColumnFormula>
    </tableColumn>
    <tableColumn id="7" xr3:uid="{477FD35F-6B4B-41DE-A036-582963A685E4}" name="RATE" dataDxfId="2"/>
    <tableColumn id="8" xr3:uid="{B07C94F1-8762-44EC-AFEE-1B1F176BFD59}" name="TOTAL BILL AMOUNT" dataDxfId="1"/>
    <tableColumn id="9" xr3:uid="{630B86B1-27F4-4D39-ACF3-5DA1FA02E172}" name="Column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opLeftCell="A54" workbookViewId="0">
      <selection activeCell="A72" sqref="A72"/>
    </sheetView>
  </sheetViews>
  <sheetFormatPr defaultColWidth="25.26953125" defaultRowHeight="14.5" x14ac:dyDescent="0.35"/>
  <cols>
    <col min="1" max="1" width="10.08984375" style="3" bestFit="1" customWidth="1"/>
    <col min="2" max="2" width="13" bestFit="1" customWidth="1"/>
    <col min="3" max="3" width="13.08984375" bestFit="1" customWidth="1"/>
    <col min="4" max="4" width="20.54296875" bestFit="1" customWidth="1"/>
    <col min="5" max="5" width="6.81640625" bestFit="1" customWidth="1"/>
    <col min="6" max="6" width="15.7265625" bestFit="1" customWidth="1"/>
    <col min="7" max="7" width="9.26953125" style="4" bestFit="1" customWidth="1"/>
    <col min="8" max="8" width="22.90625" style="9" bestFit="1" customWidth="1"/>
  </cols>
  <sheetData>
    <row r="1" spans="1:9" x14ac:dyDescent="0.3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9</v>
      </c>
      <c r="G1" s="15" t="s">
        <v>5</v>
      </c>
      <c r="H1" s="16" t="s">
        <v>8</v>
      </c>
      <c r="I1" s="14" t="s">
        <v>56</v>
      </c>
    </row>
    <row r="2" spans="1:9" x14ac:dyDescent="0.35">
      <c r="A2" s="10">
        <v>45918</v>
      </c>
      <c r="B2" s="6" t="s">
        <v>19</v>
      </c>
      <c r="C2" s="6"/>
      <c r="D2" s="6" t="s">
        <v>17</v>
      </c>
      <c r="E2" s="6">
        <v>4</v>
      </c>
      <c r="F2" s="6" t="str">
        <f>IFERROR(VLOOKUP(B2,'Reference Table'!$A$2:$C$20,2,FALSE),"")</f>
        <v>UNITS</v>
      </c>
      <c r="G2" s="7">
        <v>5125</v>
      </c>
      <c r="H2" s="11">
        <f>E2*G2</f>
        <v>20500</v>
      </c>
      <c r="I2" s="21"/>
    </row>
    <row r="3" spans="1:9" x14ac:dyDescent="0.35">
      <c r="A3" s="10">
        <v>45918</v>
      </c>
      <c r="B3" s="6" t="s">
        <v>21</v>
      </c>
      <c r="C3" s="6"/>
      <c r="D3" s="6" t="s">
        <v>17</v>
      </c>
      <c r="E3" s="6">
        <v>4</v>
      </c>
      <c r="F3" s="6" t="str">
        <f>IFERROR(VLOOKUP(B3,'Reference Table'!$A$2:$C$20,2,FALSE),"")</f>
        <v>UNITS</v>
      </c>
      <c r="G3" s="7">
        <v>4450</v>
      </c>
      <c r="H3" s="11">
        <f>E3*G3</f>
        <v>17800</v>
      </c>
      <c r="I3" s="6"/>
    </row>
    <row r="4" spans="1:9" x14ac:dyDescent="0.35">
      <c r="A4" s="10">
        <v>45918</v>
      </c>
      <c r="B4" s="6" t="s">
        <v>11</v>
      </c>
      <c r="C4" s="6" t="s">
        <v>20</v>
      </c>
      <c r="D4" s="6" t="s">
        <v>31</v>
      </c>
      <c r="E4" s="6">
        <v>1445</v>
      </c>
      <c r="F4" s="6" t="str">
        <f>IFERROR(VLOOKUP(B4,'Reference Table'!$A$2:$C$20,2,FALSE),"")</f>
        <v>KG</v>
      </c>
      <c r="G4" s="7"/>
      <c r="H4" s="11">
        <v>90780</v>
      </c>
      <c r="I4" s="6"/>
    </row>
    <row r="5" spans="1:9" x14ac:dyDescent="0.35">
      <c r="A5" s="10">
        <v>45919</v>
      </c>
      <c r="B5" s="6" t="s">
        <v>14</v>
      </c>
      <c r="C5" s="6" t="s">
        <v>12</v>
      </c>
      <c r="D5" s="6" t="s">
        <v>22</v>
      </c>
      <c r="E5" s="6">
        <v>60</v>
      </c>
      <c r="F5" s="6" t="str">
        <f>IFERROR(VLOOKUP(B5,'Reference Table'!$A$2:$C$20,2,FALSE),"")</f>
        <v>BAGS</v>
      </c>
      <c r="G5" s="7">
        <v>320</v>
      </c>
      <c r="H5" s="11">
        <f>E5*G5</f>
        <v>19200</v>
      </c>
      <c r="I5" s="6"/>
    </row>
    <row r="6" spans="1:9" x14ac:dyDescent="0.35">
      <c r="A6" s="10">
        <v>45921</v>
      </c>
      <c r="B6" s="6" t="s">
        <v>11</v>
      </c>
      <c r="C6" s="6" t="s">
        <v>20</v>
      </c>
      <c r="D6" s="6" t="s">
        <v>31</v>
      </c>
      <c r="E6" s="6"/>
      <c r="F6" s="6" t="str">
        <f>IFERROR(VLOOKUP(B6,'Reference Table'!$A$2:$C$20,2,FALSE),"")</f>
        <v>KG</v>
      </c>
      <c r="G6" s="7"/>
      <c r="H6" s="11">
        <v>80650</v>
      </c>
      <c r="I6" s="6"/>
    </row>
    <row r="7" spans="1:9" x14ac:dyDescent="0.35">
      <c r="A7" s="10">
        <v>45922</v>
      </c>
      <c r="B7" s="6" t="s">
        <v>19</v>
      </c>
      <c r="C7" s="6"/>
      <c r="D7" s="6" t="s">
        <v>17</v>
      </c>
      <c r="E7" s="6">
        <v>4</v>
      </c>
      <c r="F7" s="6" t="str">
        <f>IFERROR(VLOOKUP(B7,'Reference Table'!$A$2:$C$20,2,FALSE),"")</f>
        <v>UNITS</v>
      </c>
      <c r="G7" s="7">
        <v>5125</v>
      </c>
      <c r="H7" s="11">
        <f t="shared" ref="H7:H15" si="0">E7*G7</f>
        <v>20500</v>
      </c>
      <c r="I7" s="6"/>
    </row>
    <row r="8" spans="1:9" x14ac:dyDescent="0.35">
      <c r="A8" s="10">
        <v>45922</v>
      </c>
      <c r="B8" s="6" t="s">
        <v>23</v>
      </c>
      <c r="C8" s="6"/>
      <c r="D8" s="6" t="s">
        <v>17</v>
      </c>
      <c r="E8" s="6">
        <v>4</v>
      </c>
      <c r="F8" s="6" t="str">
        <f>IFERROR(VLOOKUP(B8,'Reference Table'!$A$2:$C$20,2,FALSE),"")</f>
        <v>UNITS</v>
      </c>
      <c r="G8" s="7">
        <v>4450</v>
      </c>
      <c r="H8" s="11">
        <f t="shared" si="0"/>
        <v>17800</v>
      </c>
      <c r="I8" s="6"/>
    </row>
    <row r="9" spans="1:9" x14ac:dyDescent="0.35">
      <c r="A9" s="10">
        <v>45923</v>
      </c>
      <c r="B9" s="6" t="s">
        <v>14</v>
      </c>
      <c r="C9" s="6" t="s">
        <v>12</v>
      </c>
      <c r="D9" s="6" t="s">
        <v>22</v>
      </c>
      <c r="E9" s="6">
        <v>60</v>
      </c>
      <c r="F9" s="6" t="str">
        <f>IFERROR(VLOOKUP(B9,'Reference Table'!$A$2:$C$20,2,FALSE),"")</f>
        <v>BAGS</v>
      </c>
      <c r="G9" s="7">
        <v>300</v>
      </c>
      <c r="H9" s="11">
        <f t="shared" si="0"/>
        <v>18000</v>
      </c>
      <c r="I9" s="6"/>
    </row>
    <row r="10" spans="1:9" x14ac:dyDescent="0.35">
      <c r="A10" s="10">
        <v>45924</v>
      </c>
      <c r="B10" s="6" t="s">
        <v>33</v>
      </c>
      <c r="C10" s="6" t="s">
        <v>34</v>
      </c>
      <c r="D10" s="6" t="s">
        <v>35</v>
      </c>
      <c r="E10" s="6">
        <v>12000</v>
      </c>
      <c r="F10" s="6" t="str">
        <f>IFERROR(VLOOKUP(B10,'Reference Table'!$A$2:$C$20,2,FALSE),"")</f>
        <v>NOS</v>
      </c>
      <c r="G10" s="7">
        <v>11.4</v>
      </c>
      <c r="H10" s="11">
        <f t="shared" si="0"/>
        <v>136800</v>
      </c>
      <c r="I10" s="6"/>
    </row>
    <row r="11" spans="1:9" x14ac:dyDescent="0.35">
      <c r="A11" s="10">
        <v>45924</v>
      </c>
      <c r="B11" s="6" t="s">
        <v>41</v>
      </c>
      <c r="C11" s="6"/>
      <c r="D11" s="6" t="s">
        <v>17</v>
      </c>
      <c r="E11" s="6">
        <v>4</v>
      </c>
      <c r="F11" s="6" t="str">
        <f>IFERROR(VLOOKUP(B11,'Reference Table'!$A$2:$C$20,2,FALSE),"")</f>
        <v>UNITS</v>
      </c>
      <c r="G11" s="7">
        <v>5750</v>
      </c>
      <c r="H11" s="11">
        <f t="shared" si="0"/>
        <v>23000</v>
      </c>
      <c r="I11" s="6"/>
    </row>
    <row r="12" spans="1:9" x14ac:dyDescent="0.35">
      <c r="A12" s="10">
        <v>45925</v>
      </c>
      <c r="B12" s="6" t="s">
        <v>38</v>
      </c>
      <c r="C12" s="6"/>
      <c r="D12" s="6" t="s">
        <v>17</v>
      </c>
      <c r="E12" s="6">
        <v>4</v>
      </c>
      <c r="F12" s="6" t="str">
        <f>IFERROR(VLOOKUP(B12,'Reference Table'!$A$2:$C$20,2,FALSE),"")</f>
        <v>UNITS</v>
      </c>
      <c r="G12" s="7">
        <v>2250</v>
      </c>
      <c r="H12" s="11">
        <f t="shared" si="0"/>
        <v>9000</v>
      </c>
      <c r="I12" s="6"/>
    </row>
    <row r="13" spans="1:9" x14ac:dyDescent="0.35">
      <c r="A13" s="10">
        <v>45934</v>
      </c>
      <c r="B13" s="6" t="s">
        <v>23</v>
      </c>
      <c r="C13" s="6"/>
      <c r="D13" s="6" t="s">
        <v>17</v>
      </c>
      <c r="E13" s="6">
        <v>4</v>
      </c>
      <c r="F13" s="6" t="str">
        <f>IFERROR(VLOOKUP(B13,'Reference Table'!$A$2:$C$20,2,FALSE),"")</f>
        <v>UNITS</v>
      </c>
      <c r="G13" s="7">
        <v>4450</v>
      </c>
      <c r="H13" s="11">
        <f t="shared" si="0"/>
        <v>17800</v>
      </c>
      <c r="I13" s="6"/>
    </row>
    <row r="14" spans="1:9" x14ac:dyDescent="0.35">
      <c r="A14" s="10">
        <v>45934</v>
      </c>
      <c r="B14" s="6" t="s">
        <v>19</v>
      </c>
      <c r="C14" s="6"/>
      <c r="D14" s="6" t="s">
        <v>17</v>
      </c>
      <c r="E14" s="6">
        <v>4</v>
      </c>
      <c r="F14" s="6" t="str">
        <f>IFERROR(VLOOKUP(B14,'Reference Table'!$A$2:$C$20,2,FALSE),"")</f>
        <v>UNITS</v>
      </c>
      <c r="G14" s="7">
        <v>5125</v>
      </c>
      <c r="H14" s="11">
        <f t="shared" si="0"/>
        <v>20500</v>
      </c>
      <c r="I14" s="6"/>
    </row>
    <row r="15" spans="1:9" x14ac:dyDescent="0.35">
      <c r="A15" s="10">
        <v>45935</v>
      </c>
      <c r="B15" s="6" t="s">
        <v>14</v>
      </c>
      <c r="C15" s="6" t="s">
        <v>12</v>
      </c>
      <c r="D15" s="6" t="s">
        <v>22</v>
      </c>
      <c r="E15" s="6">
        <v>100</v>
      </c>
      <c r="F15" s="6" t="str">
        <f>IFERROR(VLOOKUP(B15,'Reference Table'!$A$2:$C$20,2,FALSE),"")</f>
        <v>BAGS</v>
      </c>
      <c r="G15" s="7">
        <v>295</v>
      </c>
      <c r="H15" s="11">
        <f t="shared" si="0"/>
        <v>29500</v>
      </c>
      <c r="I15" s="6"/>
    </row>
    <row r="16" spans="1:9" x14ac:dyDescent="0.35">
      <c r="A16" s="10">
        <v>45940</v>
      </c>
      <c r="B16" s="6" t="s">
        <v>38</v>
      </c>
      <c r="C16" s="6"/>
      <c r="D16" s="6" t="s">
        <v>17</v>
      </c>
      <c r="E16" s="6">
        <v>20</v>
      </c>
      <c r="F16" s="6" t="str">
        <f>IFERROR(VLOOKUP(B16,'Reference Table'!$A$2:$C$20,2,FALSE),"")</f>
        <v>UNITS</v>
      </c>
      <c r="G16" s="7">
        <v>2250</v>
      </c>
      <c r="H16" s="11">
        <f>Table1[[#This Row],[QTY]]*Table1[[#This Row],[RATE]]</f>
        <v>45000</v>
      </c>
      <c r="I16" s="6"/>
    </row>
    <row r="17" spans="1:9" x14ac:dyDescent="0.35">
      <c r="A17" s="10">
        <v>45941</v>
      </c>
      <c r="B17" s="6" t="s">
        <v>14</v>
      </c>
      <c r="C17" s="6" t="s">
        <v>12</v>
      </c>
      <c r="D17" s="6" t="s">
        <v>22</v>
      </c>
      <c r="E17" s="6">
        <v>60</v>
      </c>
      <c r="F17" s="6" t="str">
        <f>IFERROR(VLOOKUP(B17,'Reference Table'!$A$2:$C$20,2,FALSE),"")</f>
        <v>BAGS</v>
      </c>
      <c r="G17" s="7">
        <v>295</v>
      </c>
      <c r="H17" s="11">
        <f>Table1[[#This Row],[QTY]]*Table1[[#This Row],[RATE]]</f>
        <v>17700</v>
      </c>
      <c r="I17" s="6"/>
    </row>
    <row r="18" spans="1:9" x14ac:dyDescent="0.35">
      <c r="A18" s="10">
        <v>45944</v>
      </c>
      <c r="B18" s="6" t="s">
        <v>19</v>
      </c>
      <c r="C18" s="6"/>
      <c r="D18" s="6" t="s">
        <v>17</v>
      </c>
      <c r="E18" s="6">
        <v>4</v>
      </c>
      <c r="F18" s="6" t="str">
        <f>IFERROR(VLOOKUP(B18,'Reference Table'!$A$2:$C$20,2,FALSE),"")</f>
        <v>UNITS</v>
      </c>
      <c r="G18" s="7">
        <v>5125</v>
      </c>
      <c r="H18" s="11">
        <f>Table1[[#This Row],[QTY]]*Table1[[#This Row],[RATE]]</f>
        <v>20500</v>
      </c>
      <c r="I18" s="6"/>
    </row>
    <row r="19" spans="1:9" x14ac:dyDescent="0.35">
      <c r="A19" s="10">
        <v>45945</v>
      </c>
      <c r="B19" s="6" t="s">
        <v>23</v>
      </c>
      <c r="C19" s="6"/>
      <c r="D19" s="6" t="s">
        <v>17</v>
      </c>
      <c r="E19" s="6">
        <v>4</v>
      </c>
      <c r="F19" s="6" t="str">
        <f>IFERROR(VLOOKUP(B19,'Reference Table'!$A$2:$C$20,2,FALSE),"")</f>
        <v>UNITS</v>
      </c>
      <c r="G19" s="7">
        <v>4450</v>
      </c>
      <c r="H19" s="11">
        <f>Table1[[#This Row],[QTY]]*Table1[[#This Row],[RATE]]</f>
        <v>17800</v>
      </c>
      <c r="I19" s="6"/>
    </row>
    <row r="20" spans="1:9" x14ac:dyDescent="0.35">
      <c r="A20" s="10">
        <v>45943</v>
      </c>
      <c r="B20" s="6" t="s">
        <v>11</v>
      </c>
      <c r="C20" s="6" t="s">
        <v>20</v>
      </c>
      <c r="D20" s="6" t="s">
        <v>31</v>
      </c>
      <c r="E20" s="6">
        <v>115</v>
      </c>
      <c r="F20" s="6" t="str">
        <f>IFERROR(VLOOKUP(B20,'Reference Table'!$A$2:$C$20,2,FALSE),"")</f>
        <v>KG</v>
      </c>
      <c r="G20" s="7"/>
      <c r="H20" s="11">
        <v>8350</v>
      </c>
      <c r="I20" s="6"/>
    </row>
    <row r="21" spans="1:9" x14ac:dyDescent="0.35">
      <c r="A21" s="10">
        <v>45954</v>
      </c>
      <c r="B21" s="6" t="s">
        <v>33</v>
      </c>
      <c r="C21" s="6" t="s">
        <v>34</v>
      </c>
      <c r="D21" s="6" t="s">
        <v>35</v>
      </c>
      <c r="E21" s="6">
        <v>12000</v>
      </c>
      <c r="F21" s="6" t="str">
        <f>IFERROR(VLOOKUP(B21,'Reference Table'!$A$2:$C$20,2,FALSE),"")</f>
        <v>NOS</v>
      </c>
      <c r="G21" s="7">
        <v>11.4</v>
      </c>
      <c r="H21" s="11">
        <f>Table1[[#This Row],[QTY]]*Table1[[#This Row],[RATE]]</f>
        <v>136800</v>
      </c>
      <c r="I21" s="6"/>
    </row>
    <row r="22" spans="1:9" x14ac:dyDescent="0.35">
      <c r="A22" s="17">
        <v>45958</v>
      </c>
      <c r="B22" s="18" t="s">
        <v>14</v>
      </c>
      <c r="C22" s="18" t="s">
        <v>12</v>
      </c>
      <c r="D22" s="18" t="s">
        <v>22</v>
      </c>
      <c r="E22" s="18">
        <v>60</v>
      </c>
      <c r="F22" s="18" t="str">
        <f>IFERROR(VLOOKUP(B22,'Reference Table'!$A$2:$C$20,2,FALSE),"")</f>
        <v>BAGS</v>
      </c>
      <c r="G22" s="19">
        <v>295</v>
      </c>
      <c r="H22" s="11">
        <f>Table1[[#This Row],[QTY]]*Table1[[#This Row],[RATE]]</f>
        <v>17700</v>
      </c>
      <c r="I22" s="6"/>
    </row>
    <row r="23" spans="1:9" x14ac:dyDescent="0.35">
      <c r="A23" s="17">
        <v>45960</v>
      </c>
      <c r="B23" s="18" t="s">
        <v>11</v>
      </c>
      <c r="C23" s="18" t="s">
        <v>20</v>
      </c>
      <c r="D23" s="18" t="s">
        <v>31</v>
      </c>
      <c r="E23" s="18">
        <v>290</v>
      </c>
      <c r="F23" s="18" t="str">
        <f>IFERROR(VLOOKUP(B23,'Reference Table'!$A$2:$C$20,2,FALSE),"")</f>
        <v>KG</v>
      </c>
      <c r="G23" s="19"/>
      <c r="H23" s="20">
        <v>19490</v>
      </c>
      <c r="I23" s="6"/>
    </row>
    <row r="24" spans="1:9" x14ac:dyDescent="0.35">
      <c r="A24" s="10">
        <v>45978</v>
      </c>
      <c r="B24" s="6" t="s">
        <v>11</v>
      </c>
      <c r="C24" s="6" t="s">
        <v>20</v>
      </c>
      <c r="D24" s="6" t="s">
        <v>31</v>
      </c>
      <c r="E24" s="6">
        <v>1762</v>
      </c>
      <c r="F24" s="6" t="str">
        <f>IFERROR(VLOOKUP(B24,'Reference Table'!$A$2:$C$20,2,FALSE),"")</f>
        <v>KG</v>
      </c>
      <c r="G24" s="7"/>
      <c r="H24" s="11">
        <v>110410</v>
      </c>
      <c r="I24" s="6"/>
    </row>
    <row r="25" spans="1:9" x14ac:dyDescent="0.35">
      <c r="A25" s="10">
        <v>45983</v>
      </c>
      <c r="B25" s="6" t="s">
        <v>46</v>
      </c>
      <c r="C25" s="6" t="s">
        <v>47</v>
      </c>
      <c r="D25" s="6" t="s">
        <v>48</v>
      </c>
      <c r="E25" s="6"/>
      <c r="F25" s="6"/>
      <c r="G25" s="7"/>
      <c r="H25" s="11">
        <v>6941</v>
      </c>
      <c r="I25" s="6"/>
    </row>
    <row r="26" spans="1:9" x14ac:dyDescent="0.35">
      <c r="A26" s="10">
        <v>45985</v>
      </c>
      <c r="B26" s="6" t="s">
        <v>19</v>
      </c>
      <c r="C26" s="6"/>
      <c r="D26" s="6" t="s">
        <v>17</v>
      </c>
      <c r="E26" s="6">
        <v>4</v>
      </c>
      <c r="F26" s="6" t="str">
        <f>IFERROR(VLOOKUP(B26,'Reference Table'!$A$2:$C$20,2,FALSE),"")</f>
        <v>UNITS</v>
      </c>
      <c r="G26" s="7">
        <v>5125</v>
      </c>
      <c r="H26" s="11">
        <f>Table1[[#This Row],[QTY]]*Table1[[#This Row],[RATE]]</f>
        <v>20500</v>
      </c>
      <c r="I26" s="6"/>
    </row>
    <row r="27" spans="1:9" x14ac:dyDescent="0.35">
      <c r="A27" s="10">
        <v>45985</v>
      </c>
      <c r="B27" s="18" t="s">
        <v>23</v>
      </c>
      <c r="C27" s="18"/>
      <c r="D27" s="18" t="s">
        <v>17</v>
      </c>
      <c r="E27" s="18">
        <v>4</v>
      </c>
      <c r="F27" s="18" t="str">
        <f>IFERROR(VLOOKUP(B27,'Reference Table'!$A$2:$C$20,2,FALSE),"")</f>
        <v>UNITS</v>
      </c>
      <c r="G27" s="19">
        <v>4450</v>
      </c>
      <c r="H27" s="11">
        <f>Table1[[#This Row],[QTY]]*Table1[[#This Row],[RATE]]</f>
        <v>17800</v>
      </c>
      <c r="I27" s="6"/>
    </row>
    <row r="28" spans="1:9" x14ac:dyDescent="0.35">
      <c r="A28" s="10">
        <v>45985</v>
      </c>
      <c r="B28" s="18" t="s">
        <v>14</v>
      </c>
      <c r="C28" s="18" t="s">
        <v>12</v>
      </c>
      <c r="D28" s="18" t="s">
        <v>22</v>
      </c>
      <c r="E28" s="18">
        <v>120</v>
      </c>
      <c r="F28" s="18" t="str">
        <f>IFERROR(VLOOKUP(B28,'Reference Table'!$A$2:$C$20,2,FALSE),"")</f>
        <v>BAGS</v>
      </c>
      <c r="G28" s="19">
        <v>280</v>
      </c>
      <c r="H28" s="11">
        <f>Table1[[#This Row],[QTY]]*Table1[[#This Row],[RATE]]</f>
        <v>33600</v>
      </c>
      <c r="I28" s="6"/>
    </row>
    <row r="29" spans="1:9" x14ac:dyDescent="0.35">
      <c r="A29" s="17">
        <v>46002</v>
      </c>
      <c r="B29" s="18" t="s">
        <v>11</v>
      </c>
      <c r="C29" s="18" t="s">
        <v>20</v>
      </c>
      <c r="D29" s="18" t="s">
        <v>31</v>
      </c>
      <c r="E29" s="18">
        <v>583</v>
      </c>
      <c r="F29" s="18" t="str">
        <f>IFERROR(VLOOKUP(B29,'Reference Table'!$A$2:$C$20,2,FALSE),"")</f>
        <v>KG</v>
      </c>
      <c r="G29" s="19"/>
      <c r="H29" s="20">
        <v>38090</v>
      </c>
      <c r="I29" s="6"/>
    </row>
    <row r="30" spans="1:9" x14ac:dyDescent="0.35">
      <c r="A30" s="10">
        <v>46009</v>
      </c>
      <c r="B30" s="6" t="s">
        <v>19</v>
      </c>
      <c r="C30" s="6"/>
      <c r="D30" s="6" t="s">
        <v>17</v>
      </c>
      <c r="E30" s="6">
        <v>4</v>
      </c>
      <c r="F30" s="6" t="str">
        <f>IFERROR(VLOOKUP(B30,'Reference Table'!$A$2:$C$20,2,FALSE),"")</f>
        <v>UNITS</v>
      </c>
      <c r="G30" s="7">
        <v>5125</v>
      </c>
      <c r="H30" s="20">
        <f>Table1[[#This Row],[QTY]]*Table1[[#This Row],[RATE]]</f>
        <v>20500</v>
      </c>
      <c r="I30" s="6"/>
    </row>
    <row r="31" spans="1:9" x14ac:dyDescent="0.35">
      <c r="A31" s="17">
        <v>46010</v>
      </c>
      <c r="B31" s="18" t="s">
        <v>14</v>
      </c>
      <c r="C31" s="18" t="s">
        <v>12</v>
      </c>
      <c r="D31" s="18" t="s">
        <v>22</v>
      </c>
      <c r="E31" s="18">
        <v>50</v>
      </c>
      <c r="F31" s="18" t="str">
        <f>IFERROR(VLOOKUP(B31,'Reference Table'!$A$2:$C$20,2,FALSE),"")</f>
        <v>BAGS</v>
      </c>
      <c r="G31" s="19">
        <v>280</v>
      </c>
      <c r="H31" s="20">
        <f>Table1[[#This Row],[QTY]]*Table1[[#This Row],[RATE]]</f>
        <v>14000</v>
      </c>
      <c r="I31" s="6"/>
    </row>
    <row r="32" spans="1:9" x14ac:dyDescent="0.35">
      <c r="A32" s="17">
        <v>46015</v>
      </c>
      <c r="B32" s="18" t="s">
        <v>33</v>
      </c>
      <c r="C32" s="18" t="s">
        <v>34</v>
      </c>
      <c r="D32" s="18" t="s">
        <v>35</v>
      </c>
      <c r="E32" s="18">
        <v>5000</v>
      </c>
      <c r="F32" s="18" t="str">
        <f>IFERROR(VLOOKUP(B32,'Reference Table'!$A$2:$C$20,2,FALSE),"")</f>
        <v>NOS</v>
      </c>
      <c r="G32" s="19">
        <v>12</v>
      </c>
      <c r="H32" s="20">
        <f>Table1[[#This Row],[QTY]]*Table1[[#This Row],[RATE]]</f>
        <v>60000</v>
      </c>
      <c r="I32" s="6"/>
    </row>
    <row r="33" spans="1:9" x14ac:dyDescent="0.35">
      <c r="A33" s="17">
        <v>46016</v>
      </c>
      <c r="B33" s="18" t="s">
        <v>46</v>
      </c>
      <c r="C33" s="18"/>
      <c r="D33" s="18" t="s">
        <v>48</v>
      </c>
      <c r="E33" s="18"/>
      <c r="F33" s="18">
        <f>IFERROR(VLOOKUP(B33,'Reference Table'!$A$2:$C$20,2,FALSE),"")</f>
        <v>0</v>
      </c>
      <c r="G33" s="19"/>
      <c r="H33" s="20">
        <v>15335</v>
      </c>
      <c r="I33" s="6"/>
    </row>
    <row r="34" spans="1:9" x14ac:dyDescent="0.35">
      <c r="A34" s="10">
        <v>46019</v>
      </c>
      <c r="B34" s="6" t="s">
        <v>58</v>
      </c>
      <c r="C34" s="6"/>
      <c r="D34" s="6" t="s">
        <v>48</v>
      </c>
      <c r="E34" s="6"/>
      <c r="F34" s="6">
        <f>IFERROR(VLOOKUP(B34,'Reference Table'!$A$2:$C$20,2,FALSE),"")</f>
        <v>0</v>
      </c>
      <c r="G34" s="7"/>
      <c r="H34" s="11">
        <v>1310</v>
      </c>
      <c r="I34" s="6"/>
    </row>
    <row r="35" spans="1:9" x14ac:dyDescent="0.35">
      <c r="A35" s="10">
        <v>46024</v>
      </c>
      <c r="B35" s="6" t="s">
        <v>14</v>
      </c>
      <c r="C35" s="6" t="s">
        <v>12</v>
      </c>
      <c r="D35" s="6" t="s">
        <v>22</v>
      </c>
      <c r="E35" s="6">
        <v>60</v>
      </c>
      <c r="F35" s="6" t="str">
        <f>IFERROR(VLOOKUP(B35,'Reference Table'!$A$2:$C$20,2,FALSE),"")</f>
        <v>BAGS</v>
      </c>
      <c r="G35" s="7">
        <v>270</v>
      </c>
      <c r="H35" s="11">
        <f>Table1[[#This Row],[QTY]]*Table1[[#This Row],[RATE]]</f>
        <v>16200</v>
      </c>
      <c r="I35" s="6"/>
    </row>
    <row r="36" spans="1:9" x14ac:dyDescent="0.35">
      <c r="A36" s="17">
        <v>46044</v>
      </c>
      <c r="B36" s="18" t="s">
        <v>11</v>
      </c>
      <c r="C36" s="18" t="s">
        <v>20</v>
      </c>
      <c r="D36" s="18" t="s">
        <v>31</v>
      </c>
      <c r="E36" s="18">
        <v>1874</v>
      </c>
      <c r="F36" s="18" t="str">
        <f>IFERROR(VLOOKUP(B36,'Reference Table'!$A$2:$C$20,2,FALSE),"")</f>
        <v>KG</v>
      </c>
      <c r="G36" s="19">
        <v>70.94</v>
      </c>
      <c r="H36" s="11">
        <f>Table1[[#This Row],[QTY]]*Table1[[#This Row],[RATE]]</f>
        <v>132941.56</v>
      </c>
      <c r="I36" s="6"/>
    </row>
    <row r="37" spans="1:9" x14ac:dyDescent="0.35">
      <c r="A37" s="17">
        <v>46050</v>
      </c>
      <c r="B37" s="18" t="s">
        <v>46</v>
      </c>
      <c r="C37" s="18"/>
      <c r="D37" s="18" t="s">
        <v>48</v>
      </c>
      <c r="E37" s="18"/>
      <c r="F37" s="18">
        <f>IFERROR(VLOOKUP(B37,'Reference Table'!$A$2:$C$20,2,FALSE),"")</f>
        <v>0</v>
      </c>
      <c r="G37" s="19"/>
      <c r="H37" s="20">
        <v>5885</v>
      </c>
      <c r="I37" s="6" t="s">
        <v>55</v>
      </c>
    </row>
    <row r="38" spans="1:9" x14ac:dyDescent="0.35">
      <c r="A38" s="10">
        <v>46050</v>
      </c>
      <c r="B38" s="6" t="s">
        <v>19</v>
      </c>
      <c r="C38" s="6"/>
      <c r="D38" s="6" t="s">
        <v>17</v>
      </c>
      <c r="E38" s="6">
        <v>4</v>
      </c>
      <c r="F38" s="6" t="str">
        <f>IFERROR(VLOOKUP(B38,'Reference Table'!$A$2:$C$20,2,FALSE),"")</f>
        <v>UNITS</v>
      </c>
      <c r="G38" s="7">
        <v>5125</v>
      </c>
      <c r="H38" s="11">
        <f>Table1[[#This Row],[QTY]]*Table1[[#This Row],[RATE]]</f>
        <v>20500</v>
      </c>
      <c r="I38" s="18"/>
    </row>
    <row r="39" spans="1:9" x14ac:dyDescent="0.35">
      <c r="A39" s="10">
        <v>46050</v>
      </c>
      <c r="B39" s="18" t="s">
        <v>23</v>
      </c>
      <c r="C39" s="18"/>
      <c r="D39" s="18" t="s">
        <v>17</v>
      </c>
      <c r="E39" s="18">
        <v>4</v>
      </c>
      <c r="F39" s="18" t="str">
        <f>IFERROR(VLOOKUP(B39,'Reference Table'!$A$2:$C$20,2,FALSE),"")</f>
        <v>UNITS</v>
      </c>
      <c r="G39" s="19">
        <v>4450</v>
      </c>
      <c r="H39" s="11">
        <f>Table1[[#This Row],[QTY]]*Table1[[#This Row],[RATE]]</f>
        <v>17800</v>
      </c>
      <c r="I39" s="18"/>
    </row>
    <row r="40" spans="1:9" x14ac:dyDescent="0.35">
      <c r="A40" s="10">
        <v>46050</v>
      </c>
      <c r="B40" s="18" t="s">
        <v>14</v>
      </c>
      <c r="C40" s="18" t="s">
        <v>12</v>
      </c>
      <c r="D40" s="18" t="s">
        <v>57</v>
      </c>
      <c r="E40" s="18">
        <v>100</v>
      </c>
      <c r="F40" s="18" t="str">
        <f>IFERROR(VLOOKUP(B40,'Reference Table'!$A$2:$C$20,2,FALSE),"")</f>
        <v>BAGS</v>
      </c>
      <c r="G40" s="19">
        <v>275</v>
      </c>
      <c r="H40" s="11">
        <f>Table1[[#This Row],[QTY]]*Table1[[#This Row],[RATE]]</f>
        <v>27500</v>
      </c>
      <c r="I40" s="18"/>
    </row>
    <row r="41" spans="1:9" x14ac:dyDescent="0.35">
      <c r="A41" s="17">
        <v>46051</v>
      </c>
      <c r="B41" s="18" t="s">
        <v>23</v>
      </c>
      <c r="C41" s="18"/>
      <c r="D41" s="18" t="s">
        <v>17</v>
      </c>
      <c r="E41" s="18">
        <v>2</v>
      </c>
      <c r="F41" s="18" t="str">
        <f>IFERROR(VLOOKUP(B41,'Reference Table'!$A$2:$C$20,2,FALSE),"")</f>
        <v>UNITS</v>
      </c>
      <c r="G41" s="19">
        <v>4750</v>
      </c>
      <c r="H41" s="11">
        <f>Table1[[#This Row],[QTY]]*Table1[[#This Row],[RATE]]</f>
        <v>9500</v>
      </c>
      <c r="I41" s="18"/>
    </row>
    <row r="42" spans="1:9" x14ac:dyDescent="0.35">
      <c r="A42" s="17">
        <v>46055</v>
      </c>
      <c r="B42" s="18" t="s">
        <v>14</v>
      </c>
      <c r="C42" s="18" t="s">
        <v>12</v>
      </c>
      <c r="D42" s="18" t="s">
        <v>57</v>
      </c>
      <c r="E42" s="18">
        <v>50</v>
      </c>
      <c r="F42" s="18" t="str">
        <f>IFERROR(VLOOKUP(B42,'Reference Table'!$A$2:$C$20,2,FALSE),"")</f>
        <v>BAGS</v>
      </c>
      <c r="G42" s="19">
        <v>275</v>
      </c>
      <c r="H42" s="11">
        <f>Table1[[#This Row],[QTY]]*Table1[[#This Row],[RATE]]</f>
        <v>13750</v>
      </c>
      <c r="I42" s="18"/>
    </row>
    <row r="43" spans="1:9" x14ac:dyDescent="0.35">
      <c r="A43" s="17">
        <v>46071</v>
      </c>
      <c r="B43" s="18" t="s">
        <v>33</v>
      </c>
      <c r="C43" s="18" t="s">
        <v>59</v>
      </c>
      <c r="D43" s="18" t="s">
        <v>35</v>
      </c>
      <c r="E43" s="18">
        <v>3000</v>
      </c>
      <c r="F43" s="18" t="str">
        <f>IFERROR(VLOOKUP(B43,'Reference Table'!$A$2:$C$20,2,FALSE),"")</f>
        <v>NOS</v>
      </c>
      <c r="G43" s="19">
        <v>12</v>
      </c>
      <c r="H43" s="11">
        <f>Table1[[#This Row],[QTY]]*Table1[[#This Row],[RATE]]</f>
        <v>36000</v>
      </c>
      <c r="I43" s="18"/>
    </row>
    <row r="44" spans="1:9" x14ac:dyDescent="0.35">
      <c r="A44" s="17">
        <v>46072</v>
      </c>
      <c r="B44" s="18" t="s">
        <v>19</v>
      </c>
      <c r="C44" s="18"/>
      <c r="D44" s="18" t="s">
        <v>17</v>
      </c>
      <c r="E44" s="18">
        <v>4</v>
      </c>
      <c r="F44" s="18" t="str">
        <f>IFERROR(VLOOKUP(B44,'Reference Table'!$A$2:$C$20,2,FALSE),"")</f>
        <v>UNITS</v>
      </c>
      <c r="G44" s="19">
        <v>5125</v>
      </c>
      <c r="H44" s="11">
        <f>Table1[[#This Row],[QTY]]*Table1[[#This Row],[RATE]]</f>
        <v>20500</v>
      </c>
      <c r="I44" s="18"/>
    </row>
    <row r="45" spans="1:9" x14ac:dyDescent="0.35">
      <c r="A45" s="17">
        <v>46072</v>
      </c>
      <c r="B45" s="18" t="s">
        <v>14</v>
      </c>
      <c r="C45" s="18" t="s">
        <v>12</v>
      </c>
      <c r="D45" s="18" t="s">
        <v>22</v>
      </c>
      <c r="E45" s="18">
        <v>50</v>
      </c>
      <c r="F45" s="18" t="str">
        <f>IFERROR(VLOOKUP(B45,'Reference Table'!$A$2:$C$20,2,FALSE),"")</f>
        <v>BAGS</v>
      </c>
      <c r="G45" s="19">
        <v>270</v>
      </c>
      <c r="H45" s="11">
        <f>Table1[[#This Row],[QTY]]*Table1[[#This Row],[RATE]]</f>
        <v>13500</v>
      </c>
      <c r="I45" s="18"/>
    </row>
    <row r="46" spans="1:9" x14ac:dyDescent="0.35">
      <c r="A46" s="10">
        <v>46088</v>
      </c>
      <c r="B46" s="6" t="s">
        <v>46</v>
      </c>
      <c r="C46" s="6"/>
      <c r="D46" s="6" t="s">
        <v>48</v>
      </c>
      <c r="E46" s="6"/>
      <c r="F46" s="6">
        <f>IFERROR(VLOOKUP(B46,'Reference Table'!$A$2:$C$20,2,FALSE),"")</f>
        <v>0</v>
      </c>
      <c r="G46" s="7"/>
      <c r="H46" s="11">
        <v>1600</v>
      </c>
      <c r="I46" s="6"/>
    </row>
    <row r="47" spans="1:9" x14ac:dyDescent="0.35">
      <c r="A47" s="17">
        <v>46091</v>
      </c>
      <c r="B47" s="18" t="s">
        <v>41</v>
      </c>
      <c r="C47" s="18"/>
      <c r="D47" s="18" t="s">
        <v>17</v>
      </c>
      <c r="E47" s="18">
        <v>4</v>
      </c>
      <c r="F47" s="18" t="str">
        <f>IFERROR(VLOOKUP(B47,'Reference Table'!$A$2:$C$20,2,FALSE),"")</f>
        <v>UNITS</v>
      </c>
      <c r="G47" s="19">
        <v>5750</v>
      </c>
      <c r="H47" s="20">
        <f>Table1[[#This Row],[QTY]]*Table1[[#This Row],[RATE]]</f>
        <v>23000</v>
      </c>
      <c r="I47" s="18"/>
    </row>
    <row r="48" spans="1:9" x14ac:dyDescent="0.35">
      <c r="A48" s="10">
        <v>46091</v>
      </c>
      <c r="B48" s="6" t="s">
        <v>46</v>
      </c>
      <c r="C48" s="6"/>
      <c r="D48" s="6" t="s">
        <v>48</v>
      </c>
      <c r="E48" s="6"/>
      <c r="F48" s="6">
        <f>IFERROR(VLOOKUP(B48,'Reference Table'!$A$2:$C$20,2,FALSE),"")</f>
        <v>0</v>
      </c>
      <c r="G48" s="7"/>
      <c r="H48" s="11">
        <v>9510</v>
      </c>
      <c r="I48" s="6"/>
    </row>
    <row r="49" spans="1:9" x14ac:dyDescent="0.35">
      <c r="A49" s="17">
        <v>46095</v>
      </c>
      <c r="B49" s="18" t="s">
        <v>14</v>
      </c>
      <c r="C49" s="18" t="s">
        <v>12</v>
      </c>
      <c r="D49" s="18" t="s">
        <v>61</v>
      </c>
      <c r="E49" s="18">
        <v>50</v>
      </c>
      <c r="F49" s="18" t="str">
        <f>IFERROR(VLOOKUP(B49,'Reference Table'!$A$2:$C$20,2,FALSE),"")</f>
        <v>BAGS</v>
      </c>
      <c r="G49" s="19">
        <v>270</v>
      </c>
      <c r="H49" s="20">
        <f>Table1[[#This Row],[QTY]]*Table1[[#This Row],[RATE]]</f>
        <v>13500</v>
      </c>
      <c r="I49" s="18"/>
    </row>
    <row r="50" spans="1:9" x14ac:dyDescent="0.35">
      <c r="A50" s="17">
        <v>46107</v>
      </c>
      <c r="B50" s="18" t="s">
        <v>11</v>
      </c>
      <c r="C50" s="18" t="s">
        <v>20</v>
      </c>
      <c r="D50" s="18" t="s">
        <v>31</v>
      </c>
      <c r="E50" s="18">
        <v>608</v>
      </c>
      <c r="F50" s="18" t="str">
        <f>IFERROR(VLOOKUP(B50,'Reference Table'!$A$2:$C$20,2,FALSE),"")</f>
        <v>KG</v>
      </c>
      <c r="G50" s="19">
        <v>83.47</v>
      </c>
      <c r="H50" s="20">
        <f>Table1[[#This Row],[QTY]]*Table1[[#This Row],[RATE]]</f>
        <v>50749.760000000002</v>
      </c>
      <c r="I50" s="18"/>
    </row>
    <row r="51" spans="1:9" x14ac:dyDescent="0.35">
      <c r="A51" s="17">
        <v>46111</v>
      </c>
      <c r="B51" s="18" t="s">
        <v>11</v>
      </c>
      <c r="C51" s="18" t="s">
        <v>20</v>
      </c>
      <c r="D51" s="18" t="s">
        <v>31</v>
      </c>
      <c r="E51" s="18">
        <v>398</v>
      </c>
      <c r="F51" s="18" t="str">
        <f>IFERROR(VLOOKUP(B51,'Reference Table'!$A$2:$C$20,2,FALSE),"")</f>
        <v>KG</v>
      </c>
      <c r="G51" s="19">
        <v>86.77</v>
      </c>
      <c r="H51" s="20">
        <v>34360</v>
      </c>
      <c r="I51" s="18"/>
    </row>
    <row r="52" spans="1:9" x14ac:dyDescent="0.35">
      <c r="A52" s="17">
        <v>46113</v>
      </c>
      <c r="B52" s="18" t="s">
        <v>14</v>
      </c>
      <c r="C52" s="18" t="s">
        <v>12</v>
      </c>
      <c r="D52" s="18" t="s">
        <v>22</v>
      </c>
      <c r="E52" s="18">
        <v>85</v>
      </c>
      <c r="F52" s="18" t="str">
        <f>IFERROR(VLOOKUP(B52,'Reference Table'!$A$2:$C$20,2,FALSE),"")</f>
        <v>BAGS</v>
      </c>
      <c r="G52" s="19">
        <v>285</v>
      </c>
      <c r="H52" s="20">
        <f>Table1[[#This Row],[QTY]]*Table1[[#This Row],[RATE]]</f>
        <v>24225</v>
      </c>
      <c r="I52" s="18"/>
    </row>
    <row r="53" spans="1:9" x14ac:dyDescent="0.35">
      <c r="A53" s="17">
        <v>46113</v>
      </c>
      <c r="B53" s="18" t="s">
        <v>19</v>
      </c>
      <c r="C53" s="18"/>
      <c r="D53" s="18" t="s">
        <v>17</v>
      </c>
      <c r="E53" s="18">
        <v>2</v>
      </c>
      <c r="F53" s="18" t="str">
        <f>IFERROR(VLOOKUP(B53,'Reference Table'!$A$2:$C$20,2,FALSE),"")</f>
        <v>UNITS</v>
      </c>
      <c r="G53" s="19">
        <v>5125</v>
      </c>
      <c r="H53" s="20">
        <f>Table1[[#This Row],[QTY]]*Table1[[#This Row],[RATE]]</f>
        <v>10250</v>
      </c>
      <c r="I53" s="18"/>
    </row>
    <row r="54" spans="1:9" x14ac:dyDescent="0.35">
      <c r="A54" s="17">
        <v>46113</v>
      </c>
      <c r="B54" s="18" t="s">
        <v>23</v>
      </c>
      <c r="C54" s="18"/>
      <c r="D54" s="18" t="s">
        <v>17</v>
      </c>
      <c r="E54" s="18">
        <v>2</v>
      </c>
      <c r="F54" s="18" t="str">
        <f>IFERROR(VLOOKUP(B54,'Reference Table'!$A$2:$C$20,2,FALSE),"")</f>
        <v>UNITS</v>
      </c>
      <c r="G54" s="19">
        <v>4750</v>
      </c>
      <c r="H54" s="20">
        <f>Table1[[#This Row],[QTY]]*Table1[[#This Row],[RATE]]</f>
        <v>9500</v>
      </c>
      <c r="I54" s="18"/>
    </row>
    <row r="55" spans="1:9" x14ac:dyDescent="0.35">
      <c r="A55" s="17">
        <v>46120</v>
      </c>
      <c r="B55" s="18" t="s">
        <v>33</v>
      </c>
      <c r="C55" s="18" t="s">
        <v>59</v>
      </c>
      <c r="D55" s="18" t="s">
        <v>35</v>
      </c>
      <c r="E55" s="18">
        <v>1600</v>
      </c>
      <c r="F55" s="18" t="str">
        <f>IFERROR(VLOOKUP(B55,'Reference Table'!$A$2:$C$20,2,FALSE),"")</f>
        <v>NOS</v>
      </c>
      <c r="G55" s="19">
        <v>12</v>
      </c>
      <c r="H55" s="20">
        <f>Table1[[#This Row],[QTY]]*Table1[[#This Row],[RATE]]</f>
        <v>19200</v>
      </c>
      <c r="I55" s="18"/>
    </row>
    <row r="56" spans="1:9" x14ac:dyDescent="0.35">
      <c r="A56" s="17">
        <v>46122</v>
      </c>
      <c r="B56" s="18" t="s">
        <v>41</v>
      </c>
      <c r="C56" s="18"/>
      <c r="D56" s="18" t="s">
        <v>17</v>
      </c>
      <c r="E56" s="18">
        <v>4</v>
      </c>
      <c r="F56" s="18" t="str">
        <f>IFERROR(VLOOKUP(B56,'Reference Table'!$A$2:$C$20,2,FALSE),"")</f>
        <v>UNITS</v>
      </c>
      <c r="G56" s="19">
        <v>5750</v>
      </c>
      <c r="H56" s="20">
        <f>Table1[[#This Row],[QTY]]*Table1[[#This Row],[RATE]]</f>
        <v>23000</v>
      </c>
      <c r="I56" s="18"/>
    </row>
    <row r="57" spans="1:9" x14ac:dyDescent="0.35">
      <c r="A57" s="17">
        <v>46128</v>
      </c>
      <c r="B57" s="18" t="s">
        <v>14</v>
      </c>
      <c r="C57" s="18" t="s">
        <v>12</v>
      </c>
      <c r="D57" s="18" t="s">
        <v>22</v>
      </c>
      <c r="E57" s="18">
        <v>60</v>
      </c>
      <c r="F57" s="18" t="str">
        <f>IFERROR(VLOOKUP(B57,'Reference Table'!$A$2:$C$20,2,FALSE),"")</f>
        <v>BAGS</v>
      </c>
      <c r="G57" s="19">
        <v>340</v>
      </c>
      <c r="H57" s="20">
        <f>Table1[[#This Row],[RATE]]*Table1[[#This Row],[QTY]]</f>
        <v>20400</v>
      </c>
      <c r="I57" s="18"/>
    </row>
    <row r="58" spans="1:9" x14ac:dyDescent="0.35">
      <c r="A58" s="17">
        <v>46132</v>
      </c>
      <c r="B58" s="18" t="s">
        <v>65</v>
      </c>
      <c r="C58" s="18"/>
      <c r="D58" s="18" t="s">
        <v>17</v>
      </c>
      <c r="E58" s="18">
        <v>2</v>
      </c>
      <c r="F58" s="18" t="str">
        <f>IFERROR(VLOOKUP(B58,'Reference Table'!$A$2:$C$20,2,FALSE),"")</f>
        <v>UNITS</v>
      </c>
      <c r="G58" s="19">
        <v>4750</v>
      </c>
      <c r="H58" s="20">
        <f>Table1[[#This Row],[QTY]]*Table1[[#This Row],[RATE]]</f>
        <v>9500</v>
      </c>
      <c r="I58" s="18"/>
    </row>
    <row r="59" spans="1:9" x14ac:dyDescent="0.35">
      <c r="A59" s="17">
        <v>46132</v>
      </c>
      <c r="B59" s="18" t="s">
        <v>19</v>
      </c>
      <c r="C59" s="18"/>
      <c r="D59" s="18" t="s">
        <v>17</v>
      </c>
      <c r="E59" s="18">
        <v>4</v>
      </c>
      <c r="F59" s="18" t="str">
        <f>IFERROR(VLOOKUP(B59,'Reference Table'!$A$2:$C$20,2,FALSE),"")</f>
        <v>UNITS</v>
      </c>
      <c r="G59" s="19">
        <v>5125</v>
      </c>
      <c r="H59" s="20">
        <f>Table1[[#This Row],[QTY]]*Table1[[#This Row],[RATE]]</f>
        <v>20500</v>
      </c>
      <c r="I59" s="18"/>
    </row>
    <row r="60" spans="1:9" x14ac:dyDescent="0.35">
      <c r="A60" s="17">
        <v>46137</v>
      </c>
      <c r="B60" s="18" t="s">
        <v>46</v>
      </c>
      <c r="C60" s="18"/>
      <c r="D60" s="18"/>
      <c r="E60" s="18"/>
      <c r="F60" s="18">
        <f>IFERROR(VLOOKUP(B60,'Reference Table'!$A$2:$C$20,2,FALSE),"")</f>
        <v>0</v>
      </c>
      <c r="G60" s="19"/>
      <c r="H60" s="20">
        <v>1000</v>
      </c>
      <c r="I60" s="18" t="s">
        <v>67</v>
      </c>
    </row>
    <row r="61" spans="1:9" x14ac:dyDescent="0.35">
      <c r="A61" s="17">
        <v>46142</v>
      </c>
      <c r="B61" s="18" t="s">
        <v>68</v>
      </c>
      <c r="C61" s="18"/>
      <c r="D61" s="18" t="s">
        <v>69</v>
      </c>
      <c r="E61" s="18">
        <v>3000</v>
      </c>
      <c r="F61" s="18" t="str">
        <f>IFERROR(VLOOKUP(B61,'Reference Table'!$A$2:$C$20,2,FALSE),"")</f>
        <v>NOS</v>
      </c>
      <c r="G61" s="19">
        <v>8.3000000000000007</v>
      </c>
      <c r="H61" s="20">
        <f>Table1[[#This Row],[QTY]]*Table1[[#This Row],[RATE]]</f>
        <v>24900.000000000004</v>
      </c>
      <c r="I61" s="18"/>
    </row>
    <row r="62" spans="1:9" x14ac:dyDescent="0.35">
      <c r="A62" s="17">
        <v>46142</v>
      </c>
      <c r="B62" s="18" t="s">
        <v>70</v>
      </c>
      <c r="C62" s="18"/>
      <c r="D62" s="18" t="s">
        <v>48</v>
      </c>
      <c r="E62" s="18"/>
      <c r="F62" s="18">
        <f>IFERROR(VLOOKUP(B62,'Reference Table'!$A$2:$C$20,2,FALSE),"")</f>
        <v>0</v>
      </c>
      <c r="G62" s="19"/>
      <c r="H62" s="20">
        <v>9080</v>
      </c>
      <c r="I62" s="18"/>
    </row>
    <row r="63" spans="1:9" x14ac:dyDescent="0.35">
      <c r="A63" s="17">
        <v>46146</v>
      </c>
      <c r="B63" s="18" t="s">
        <v>14</v>
      </c>
      <c r="C63" s="18" t="s">
        <v>12</v>
      </c>
      <c r="D63" s="18" t="s">
        <v>61</v>
      </c>
      <c r="E63" s="18">
        <v>50</v>
      </c>
      <c r="F63" s="18" t="str">
        <f>IFERROR(VLOOKUP(B63,'Reference Table'!$A$2:$C$20,2,FALSE),"")</f>
        <v>BAGS</v>
      </c>
      <c r="G63" s="19">
        <v>305</v>
      </c>
      <c r="H63" s="20">
        <f>Table1[[#This Row],[QTY]]*Table1[[#This Row],[RATE]]</f>
        <v>15250</v>
      </c>
      <c r="I63" s="18"/>
    </row>
    <row r="64" spans="1:9" x14ac:dyDescent="0.35">
      <c r="A64" s="17">
        <v>46148</v>
      </c>
      <c r="B64" s="18" t="s">
        <v>72</v>
      </c>
      <c r="C64" s="18"/>
      <c r="D64" s="18" t="s">
        <v>48</v>
      </c>
      <c r="E64" s="18"/>
      <c r="F64" s="18">
        <f>IFERROR(VLOOKUP(B64,'Reference Table'!$A$2:$C$20,2,FALSE),"")</f>
        <v>0</v>
      </c>
      <c r="G64" s="19"/>
      <c r="H64" s="20">
        <v>51433</v>
      </c>
      <c r="I64" s="18"/>
    </row>
    <row r="65" spans="1:9" x14ac:dyDescent="0.35">
      <c r="A65" s="17">
        <v>46150</v>
      </c>
      <c r="B65" s="18" t="s">
        <v>73</v>
      </c>
      <c r="C65" s="18"/>
      <c r="D65" s="18" t="s">
        <v>74</v>
      </c>
      <c r="E65" s="18"/>
      <c r="F65" s="18">
        <f>IFERROR(VLOOKUP(B65,'Reference Table'!$A$2:$C$20,2,FALSE),"")</f>
        <v>0</v>
      </c>
      <c r="G65" s="19"/>
      <c r="H65" s="20">
        <v>228000</v>
      </c>
      <c r="I65" s="18"/>
    </row>
    <row r="66" spans="1:9" x14ac:dyDescent="0.35">
      <c r="A66" s="17">
        <v>46150</v>
      </c>
      <c r="B66" s="18" t="s">
        <v>70</v>
      </c>
      <c r="C66" s="18"/>
      <c r="D66" s="18" t="s">
        <v>48</v>
      </c>
      <c r="E66" s="18"/>
      <c r="F66" s="18">
        <f>IFERROR(VLOOKUP(B66,'Reference Table'!$A$2:$C$20,2,FALSE),"")</f>
        <v>0</v>
      </c>
      <c r="G66" s="19"/>
      <c r="H66" s="20">
        <v>4150</v>
      </c>
      <c r="I66" s="18"/>
    </row>
    <row r="67" spans="1:9" x14ac:dyDescent="0.35">
      <c r="A67" s="17">
        <v>46154</v>
      </c>
      <c r="B67" s="18" t="s">
        <v>72</v>
      </c>
      <c r="C67" s="18"/>
      <c r="D67" s="18" t="s">
        <v>48</v>
      </c>
      <c r="E67" s="18"/>
      <c r="F67" s="18">
        <f>IFERROR(VLOOKUP(B67,'Reference Table'!$A$2:$C$20,2,FALSE),"")</f>
        <v>0</v>
      </c>
      <c r="G67" s="19"/>
      <c r="H67" s="20">
        <v>4550</v>
      </c>
      <c r="I67" s="18"/>
    </row>
    <row r="68" spans="1:9" x14ac:dyDescent="0.35">
      <c r="A68" s="17">
        <v>45789</v>
      </c>
      <c r="B68" s="18" t="s">
        <v>73</v>
      </c>
      <c r="C68" s="18"/>
      <c r="D68" s="18" t="s">
        <v>74</v>
      </c>
      <c r="E68" s="18"/>
      <c r="F68" s="18">
        <f>IFERROR(VLOOKUP(B68,'Reference Table'!$A$2:$C$20,2,FALSE),"")</f>
        <v>0</v>
      </c>
      <c r="G68" s="19"/>
      <c r="H68" s="20">
        <v>2845</v>
      </c>
      <c r="I68" s="18"/>
    </row>
    <row r="69" spans="1:9" x14ac:dyDescent="0.35">
      <c r="A69" s="17">
        <v>46165</v>
      </c>
      <c r="B69" s="18" t="s">
        <v>14</v>
      </c>
      <c r="C69" s="18" t="s">
        <v>12</v>
      </c>
      <c r="D69" s="18" t="s">
        <v>61</v>
      </c>
      <c r="E69" s="18">
        <v>50</v>
      </c>
      <c r="F69" s="18" t="str">
        <f>IFERROR(VLOOKUP(B69,'Reference Table'!$A$2:$C$20,2,FALSE),"")</f>
        <v>BAGS</v>
      </c>
      <c r="G69" s="19">
        <v>295</v>
      </c>
      <c r="H69" s="20">
        <f>Table1[[#This Row],[QTY]]*Table1[[#This Row],[RATE]]</f>
        <v>14750</v>
      </c>
      <c r="I69" s="18"/>
    </row>
    <row r="70" spans="1:9" x14ac:dyDescent="0.35">
      <c r="A70" s="17">
        <v>46177</v>
      </c>
      <c r="B70" s="18" t="s">
        <v>77</v>
      </c>
      <c r="C70" s="18"/>
      <c r="D70" s="18" t="s">
        <v>78</v>
      </c>
      <c r="E70" s="18">
        <v>20</v>
      </c>
      <c r="F70" s="18" t="s">
        <v>15</v>
      </c>
      <c r="G70" s="19">
        <v>580</v>
      </c>
      <c r="H70" s="20">
        <f>Table1[[#This Row],[RATE]]*Table1[[#This Row],[QTY]]</f>
        <v>11600</v>
      </c>
      <c r="I70" s="18"/>
    </row>
    <row r="71" spans="1:9" x14ac:dyDescent="0.35">
      <c r="A71" s="17">
        <v>46179</v>
      </c>
      <c r="B71" s="18" t="s">
        <v>14</v>
      </c>
      <c r="C71" s="18" t="s">
        <v>12</v>
      </c>
      <c r="D71" s="18" t="s">
        <v>61</v>
      </c>
      <c r="E71" s="18">
        <v>20</v>
      </c>
      <c r="F71" s="18" t="str">
        <f>IFERROR(VLOOKUP(B71,'Reference Table'!$A$2:$C$20,2,FALSE),"")</f>
        <v>BAGS</v>
      </c>
      <c r="G71" s="19">
        <v>295</v>
      </c>
      <c r="H71" s="20">
        <f>Table1[[#This Row],[QTY]]*Table1[[#This Row],[RATE]]</f>
        <v>5900</v>
      </c>
      <c r="I71" s="18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8FAF00-9354-4524-9D93-5B9F6BB3534C}">
          <x14:formula1>
            <xm:f>'Reference Table'!$A$2:$A$25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D8E7-2C2E-4C89-B38E-C74186D29A9E}">
  <dimension ref="A1:C17"/>
  <sheetViews>
    <sheetView workbookViewId="0">
      <selection activeCell="A11" sqref="A11:C17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9.26953125" bestFit="1" customWidth="1"/>
  </cols>
  <sheetData>
    <row r="1" spans="1:3" x14ac:dyDescent="0.35">
      <c r="A1" s="1" t="s">
        <v>1</v>
      </c>
      <c r="B1" s="1" t="s">
        <v>9</v>
      </c>
      <c r="C1" s="8" t="s">
        <v>5</v>
      </c>
    </row>
    <row r="2" spans="1:3" x14ac:dyDescent="0.35">
      <c r="A2" s="6" t="s">
        <v>19</v>
      </c>
      <c r="B2" s="6" t="s">
        <v>18</v>
      </c>
      <c r="C2" s="7">
        <v>5125</v>
      </c>
    </row>
    <row r="3" spans="1:3" x14ac:dyDescent="0.35">
      <c r="A3" s="6" t="s">
        <v>21</v>
      </c>
      <c r="B3" s="6" t="s">
        <v>18</v>
      </c>
      <c r="C3" s="7">
        <v>4450</v>
      </c>
    </row>
    <row r="4" spans="1:3" x14ac:dyDescent="0.35">
      <c r="A4" s="6" t="s">
        <v>33</v>
      </c>
      <c r="B4" s="6" t="s">
        <v>16</v>
      </c>
      <c r="C4" s="7">
        <v>7.2</v>
      </c>
    </row>
    <row r="5" spans="1:3" x14ac:dyDescent="0.35">
      <c r="A5" s="6" t="s">
        <v>23</v>
      </c>
      <c r="B5" s="6" t="s">
        <v>18</v>
      </c>
      <c r="C5" s="7">
        <v>4450</v>
      </c>
    </row>
    <row r="6" spans="1:3" x14ac:dyDescent="0.35">
      <c r="A6" s="6" t="s">
        <v>41</v>
      </c>
      <c r="B6" s="6" t="s">
        <v>18</v>
      </c>
      <c r="C6" s="7">
        <v>5950</v>
      </c>
    </row>
    <row r="7" spans="1:3" x14ac:dyDescent="0.35">
      <c r="A7" s="6" t="s">
        <v>38</v>
      </c>
      <c r="B7" s="6" t="s">
        <v>18</v>
      </c>
      <c r="C7" s="7">
        <v>2200</v>
      </c>
    </row>
    <row r="8" spans="1:3" x14ac:dyDescent="0.35">
      <c r="A8" s="6" t="s">
        <v>14</v>
      </c>
      <c r="B8" s="6" t="s">
        <v>15</v>
      </c>
      <c r="C8" s="6"/>
    </row>
    <row r="9" spans="1:3" x14ac:dyDescent="0.35">
      <c r="A9" s="6" t="s">
        <v>11</v>
      </c>
      <c r="B9" s="6" t="s">
        <v>13</v>
      </c>
      <c r="C9" s="6"/>
    </row>
    <row r="10" spans="1:3" x14ac:dyDescent="0.35">
      <c r="A10" s="6" t="s">
        <v>46</v>
      </c>
      <c r="B10" s="6"/>
      <c r="C10" s="6"/>
    </row>
    <row r="11" spans="1:3" x14ac:dyDescent="0.35">
      <c r="A11" s="6" t="s">
        <v>58</v>
      </c>
      <c r="B11" s="6"/>
      <c r="C11" s="6"/>
    </row>
    <row r="12" spans="1:3" x14ac:dyDescent="0.35">
      <c r="A12" s="6" t="s">
        <v>65</v>
      </c>
      <c r="B12" s="6" t="s">
        <v>18</v>
      </c>
      <c r="C12" s="6"/>
    </row>
    <row r="13" spans="1:3" x14ac:dyDescent="0.35">
      <c r="A13" s="6" t="s">
        <v>68</v>
      </c>
      <c r="B13" s="6" t="s">
        <v>16</v>
      </c>
      <c r="C13" s="6"/>
    </row>
    <row r="14" spans="1:3" x14ac:dyDescent="0.35">
      <c r="A14" s="6" t="s">
        <v>70</v>
      </c>
      <c r="B14" s="6"/>
      <c r="C14" s="6"/>
    </row>
    <row r="15" spans="1:3" x14ac:dyDescent="0.35">
      <c r="A15" s="6" t="s">
        <v>72</v>
      </c>
      <c r="B15" s="6"/>
      <c r="C15" s="6"/>
    </row>
    <row r="16" spans="1:3" x14ac:dyDescent="0.35">
      <c r="A16" s="6" t="s">
        <v>73</v>
      </c>
      <c r="B16" s="6"/>
      <c r="C16" s="6"/>
    </row>
    <row r="17" spans="1:3" x14ac:dyDescent="0.35">
      <c r="A17" s="6" t="s">
        <v>77</v>
      </c>
      <c r="B17" s="6"/>
      <c r="C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2B97-F8EC-489B-AAAD-008E3D44EA2D}">
  <dimension ref="A1:D18"/>
  <sheetViews>
    <sheetView workbookViewId="0">
      <selection activeCell="F12" sqref="F12"/>
    </sheetView>
  </sheetViews>
  <sheetFormatPr defaultRowHeight="14.5" x14ac:dyDescent="0.35"/>
  <cols>
    <col min="1" max="1" width="13" bestFit="1" customWidth="1"/>
    <col min="3" max="3" width="13.453125" bestFit="1" customWidth="1"/>
    <col min="4" max="4" width="14.54296875" style="4" bestFit="1" customWidth="1"/>
  </cols>
  <sheetData>
    <row r="1" spans="1:4" x14ac:dyDescent="0.35">
      <c r="A1" s="1" t="s">
        <v>29</v>
      </c>
      <c r="B1" s="1" t="s">
        <v>4</v>
      </c>
      <c r="C1" s="1" t="s">
        <v>9</v>
      </c>
      <c r="D1" s="8" t="s">
        <v>66</v>
      </c>
    </row>
    <row r="2" spans="1:4" x14ac:dyDescent="0.35">
      <c r="A2" s="6" t="str" cm="1">
        <f t="array" ref="A2:A18">_xlfn.UNIQUE('Material Details'!B2:B1009)</f>
        <v>M-SAND</v>
      </c>
      <c r="B2" s="6">
        <f>SUMIF('Material Details'!B2:B1009,A2,'Material Details'!E2:E1009)</f>
        <v>38</v>
      </c>
      <c r="C2" s="6" t="s">
        <v>18</v>
      </c>
      <c r="D2" s="7">
        <f>SUMIF('Material Details'!B2:B1009,A2,'Material Details'!H2:H1009)</f>
        <v>194750</v>
      </c>
    </row>
    <row r="3" spans="1:4" x14ac:dyDescent="0.35">
      <c r="A3" s="6" t="str">
        <v>40 MM METAL</v>
      </c>
      <c r="B3" s="6">
        <f>SUMIF('Material Details'!B3:B1010,A3,'Material Details'!E3:E1010)</f>
        <v>4</v>
      </c>
      <c r="C3" s="6" t="s">
        <v>18</v>
      </c>
      <c r="D3" s="7">
        <f>SUMIF('Material Details'!B3:B1010,A3,'Material Details'!H3:H1010)</f>
        <v>17800</v>
      </c>
    </row>
    <row r="4" spans="1:4" x14ac:dyDescent="0.35">
      <c r="A4" s="6" t="str">
        <v>STEEL</v>
      </c>
      <c r="B4" s="6">
        <f>SUMIF('Material Details'!B4:B1011,A4,'Material Details'!E4:E1011)</f>
        <v>7075</v>
      </c>
      <c r="C4" s="6" t="s">
        <v>13</v>
      </c>
      <c r="D4" s="7">
        <f>SUMIF('Material Details'!B4:B1011,A4,'Material Details'!H4:H1011)</f>
        <v>565821.31999999995</v>
      </c>
    </row>
    <row r="5" spans="1:4" x14ac:dyDescent="0.35">
      <c r="A5" s="6" t="str">
        <v>CEMENT</v>
      </c>
      <c r="B5" s="6">
        <f>SUMIF('Material Details'!B5:B1012,A5,'Material Details'!E5:E1012)</f>
        <v>1085</v>
      </c>
      <c r="C5" s="6" t="s">
        <v>15</v>
      </c>
      <c r="D5" s="7">
        <f>SUMIF('Material Details'!B5:B1012,A5,'Material Details'!H5:H1012)</f>
        <v>314675</v>
      </c>
    </row>
    <row r="6" spans="1:4" x14ac:dyDescent="0.35">
      <c r="A6" s="6" t="str">
        <v>20 MM JALLY</v>
      </c>
      <c r="B6" s="6">
        <f>SUMIF('Material Details'!B6:B1013,A6,'Material Details'!E6:E1013)</f>
        <v>24</v>
      </c>
      <c r="C6" s="6" t="s">
        <v>16</v>
      </c>
      <c r="D6" s="7">
        <f>SUMIF('Material Details'!B6:B1013,A6,'Material Details'!H6:H1013)</f>
        <v>108000</v>
      </c>
    </row>
    <row r="7" spans="1:4" x14ac:dyDescent="0.35">
      <c r="A7" s="6" t="str">
        <v>BRICK</v>
      </c>
      <c r="B7" s="6">
        <f>SUMIF('Material Details'!B7:B1014,A7,'Material Details'!E7:E1014)</f>
        <v>33600</v>
      </c>
      <c r="C7" s="6" t="s">
        <v>18</v>
      </c>
      <c r="D7" s="7">
        <f>SUMIF('Material Details'!B7:B1014,A7,'Material Details'!H7:H1014)</f>
        <v>388800</v>
      </c>
    </row>
    <row r="8" spans="1:4" x14ac:dyDescent="0.35">
      <c r="A8" s="6" t="str">
        <v>P-SAND</v>
      </c>
      <c r="B8" s="6">
        <f>SUMIF('Material Details'!B9:B1015,A8,'Material Details'!E9:E1015)</f>
        <v>12</v>
      </c>
      <c r="C8" s="6" t="s">
        <v>18</v>
      </c>
      <c r="D8" s="7">
        <f>SUMIF('Material Details'!B8:B1015,A8,'Material Details'!H8:H1015)</f>
        <v>69000</v>
      </c>
    </row>
    <row r="9" spans="1:4" x14ac:dyDescent="0.35">
      <c r="A9" s="6" t="str">
        <v>GRAVEL</v>
      </c>
      <c r="B9" s="6">
        <f>SUMIF('Material Details'!B10:B1016,A9,'Material Details'!E10:E1016)</f>
        <v>24</v>
      </c>
      <c r="C9" s="6" t="s">
        <v>18</v>
      </c>
      <c r="D9" s="7">
        <f>SUMIF('Material Details'!B9:B1016,A9,'Material Details'!H9:H1016)</f>
        <v>54000</v>
      </c>
    </row>
    <row r="10" spans="1:4" x14ac:dyDescent="0.35">
      <c r="A10" s="6" t="str">
        <v>ELECTRICAL</v>
      </c>
      <c r="B10" s="6">
        <f>SUMIF('Material Details'!B11:B1017,A10,'Material Details'!E11:E1017)</f>
        <v>0</v>
      </c>
      <c r="C10" s="6" t="s">
        <v>18</v>
      </c>
      <c r="D10" s="7">
        <f>SUMIF('Material Details'!B10:B1017,A10,'Material Details'!H10:H1017)</f>
        <v>40271</v>
      </c>
    </row>
    <row r="11" spans="1:4" x14ac:dyDescent="0.35">
      <c r="A11" s="6" t="str">
        <v>OTHERS</v>
      </c>
      <c r="B11" s="6">
        <f>SUMIF('Material Details'!B12:B1018,A11,'Material Details'!E12:E1018)</f>
        <v>0</v>
      </c>
      <c r="C11" s="6" t="s">
        <v>18</v>
      </c>
      <c r="D11" s="7">
        <f>SUMIF('Material Details'!B11:B1018,A11,'Material Details'!H11:H1018)</f>
        <v>1310</v>
      </c>
    </row>
    <row r="12" spans="1:4" x14ac:dyDescent="0.35">
      <c r="A12" s="6" t="str">
        <v>BABY CHIPS</v>
      </c>
      <c r="B12" s="6">
        <f>SUMIF('Material Details'!B13:B1019,A12,'Material Details'!E13:E1019)</f>
        <v>2</v>
      </c>
      <c r="C12" s="6" t="s">
        <v>18</v>
      </c>
      <c r="D12" s="7">
        <f>SUMIF('Material Details'!B12:B1019,A12,'Material Details'!H12:H1019)</f>
        <v>9500</v>
      </c>
    </row>
    <row r="13" spans="1:4" x14ac:dyDescent="0.35">
      <c r="A13" s="6" t="str">
        <v>BRICK-FLYASH</v>
      </c>
      <c r="B13" s="6">
        <f>SUMIF('Material Details'!B14:B1020,A13,'Material Details'!E14:E1020)</f>
        <v>3000</v>
      </c>
      <c r="C13" s="6" t="s">
        <v>18</v>
      </c>
      <c r="D13" s="7">
        <f>SUMIF('Material Details'!B13:B1020,A13,'Material Details'!H13:H1020)</f>
        <v>24900.000000000004</v>
      </c>
    </row>
    <row r="14" spans="1:4" x14ac:dyDescent="0.35">
      <c r="A14" s="6" t="str">
        <v>PAINTING</v>
      </c>
      <c r="B14" s="6">
        <f>SUMIF('Material Details'!B15:B1021,A14,'Material Details'!E15:E1021)</f>
        <v>0</v>
      </c>
      <c r="C14" s="6" t="s">
        <v>18</v>
      </c>
      <c r="D14" s="7">
        <f>SUMIF('Material Details'!B14:B1021,A14,'Material Details'!H14:H1021)</f>
        <v>13230</v>
      </c>
    </row>
    <row r="15" spans="1:4" x14ac:dyDescent="0.35">
      <c r="A15" s="6" t="str">
        <v>PLUMBING</v>
      </c>
      <c r="B15" s="6">
        <f>SUMIF('Material Details'!B16:B1022,A15,'Material Details'!E16:E1022)</f>
        <v>0</v>
      </c>
      <c r="C15" s="6" t="s">
        <v>18</v>
      </c>
      <c r="D15" s="7">
        <f>SUMIF('Material Details'!B15:B1022,A15,'Material Details'!H15:H1022)</f>
        <v>55983</v>
      </c>
    </row>
    <row r="16" spans="1:4" x14ac:dyDescent="0.35">
      <c r="A16" s="6" t="str">
        <v>TILES</v>
      </c>
      <c r="B16" s="6">
        <f>SUMIF('Material Details'!B17:B1023,A16,'Material Details'!E17:E1023)</f>
        <v>0</v>
      </c>
      <c r="C16" s="6" t="s">
        <v>18</v>
      </c>
      <c r="D16" s="7">
        <f>SUMIF('Material Details'!B16:B1023,A16,'Material Details'!H16:H1023)</f>
        <v>230845</v>
      </c>
    </row>
    <row r="17" spans="1:1" x14ac:dyDescent="0.35">
      <c r="A17" t="str">
        <v>TILES PASTE</v>
      </c>
    </row>
    <row r="18" spans="1:1" x14ac:dyDescent="0.35">
      <c r="A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97B0-05D6-4BCA-A61B-0D246D1FF2DE}">
  <dimension ref="A1:D12"/>
  <sheetViews>
    <sheetView workbookViewId="0">
      <selection activeCell="A2" sqref="A2:D12"/>
    </sheetView>
  </sheetViews>
  <sheetFormatPr defaultRowHeight="14.5" x14ac:dyDescent="0.35"/>
  <cols>
    <col min="1" max="1" width="20.54296875" bestFit="1" customWidth="1"/>
    <col min="2" max="2" width="18.36328125" style="4" bestFit="1" customWidth="1"/>
    <col min="3" max="3" width="19.08984375" style="4" bestFit="1" customWidth="1"/>
    <col min="4" max="4" width="16.81640625" style="4" bestFit="1" customWidth="1"/>
  </cols>
  <sheetData>
    <row r="1" spans="1:4" x14ac:dyDescent="0.35">
      <c r="A1" s="1" t="s">
        <v>24</v>
      </c>
      <c r="B1" s="8" t="s">
        <v>8</v>
      </c>
      <c r="C1" s="8" t="s">
        <v>25</v>
      </c>
      <c r="D1" s="8" t="s">
        <v>26</v>
      </c>
    </row>
    <row r="2" spans="1:4" x14ac:dyDescent="0.35">
      <c r="A2" s="6" t="str" cm="1">
        <f t="array" ref="A2:A12">_xlfn.UNIQUE('Material Details'!D2:D1009)</f>
        <v>RSK</v>
      </c>
      <c r="B2" s="7">
        <f>SUMIF('Material Details'!D2:D1009,A2,'Material Details'!H2:H1009)</f>
        <v>453050</v>
      </c>
      <c r="C2" s="7">
        <f>SUMIF('Payment Details'!B2:B992,'Vendor Balance Sheet'!A2,'Payment Details'!C2:C992)</f>
        <v>450000</v>
      </c>
      <c r="D2" s="7">
        <f>B2-C2</f>
        <v>3050</v>
      </c>
    </row>
    <row r="3" spans="1:4" x14ac:dyDescent="0.35">
      <c r="A3" s="6" t="str">
        <v>AK STEELS</v>
      </c>
      <c r="B3" s="7">
        <f>SUMIF('Material Details'!D2:D1009,A3,'Material Details'!H2:H1009)</f>
        <v>565821.31999999995</v>
      </c>
      <c r="C3" s="7">
        <f>SUMIF('Payment Details'!B2:B993,'Vendor Balance Sheet'!A3,'Payment Details'!C2:C993)</f>
        <v>527150</v>
      </c>
      <c r="D3" s="7">
        <f t="shared" ref="D3:D7" si="0">B3-C3</f>
        <v>38671.319999999949</v>
      </c>
    </row>
    <row r="4" spans="1:4" x14ac:dyDescent="0.35">
      <c r="A4" s="6" t="str">
        <v>PALANI MURUGAN</v>
      </c>
      <c r="B4" s="7">
        <f>SUMIF('Material Details'!D3:D1010,A4,'Material Details'!H3:H1010)</f>
        <v>224025</v>
      </c>
      <c r="C4" s="7">
        <f>SUMIF('Payment Details'!B2:B992,'Vendor Balance Sheet'!A4,'Payment Details'!C2:C992)</f>
        <v>224025</v>
      </c>
      <c r="D4" s="7">
        <f t="shared" si="0"/>
        <v>0</v>
      </c>
    </row>
    <row r="5" spans="1:4" x14ac:dyDescent="0.35">
      <c r="A5" s="6" t="str">
        <v>VEL BRICK</v>
      </c>
      <c r="B5" s="7">
        <f>SUMIF('Material Details'!D4:D1011,A5,'Material Details'!H4:H1011)</f>
        <v>388800</v>
      </c>
      <c r="C5" s="7">
        <f>SUMIF('Payment Details'!B2:B993,'Vendor Balance Sheet'!A5,'Payment Details'!C2:C993)</f>
        <v>388800</v>
      </c>
      <c r="D5" s="7">
        <f t="shared" si="0"/>
        <v>0</v>
      </c>
    </row>
    <row r="6" spans="1:4" x14ac:dyDescent="0.35">
      <c r="A6" s="6" t="str">
        <v>RAMDEV ELECTRICALS</v>
      </c>
      <c r="B6" s="7">
        <f>SUMIF('Material Details'!D5:D1012,A6,'Material Details'!H5:H1012)</f>
        <v>109794</v>
      </c>
      <c r="C6" s="7">
        <f>SUMIF('Payment Details'!B3:B994,'Vendor Balance Sheet'!A6,'Payment Details'!C3:C994)</f>
        <v>103550</v>
      </c>
      <c r="D6" s="7">
        <f t="shared" si="0"/>
        <v>6244</v>
      </c>
    </row>
    <row r="7" spans="1:4" x14ac:dyDescent="0.35">
      <c r="A7" s="6" t="str">
        <v>NV ASSOCIATES</v>
      </c>
      <c r="B7" s="7">
        <f>SUMIF('Material Details'!D6:D1013,A7,'Material Details'!H6:H1013)</f>
        <v>41250</v>
      </c>
      <c r="C7" s="7">
        <f>SUMIF('Payment Details'!B4:B995,'Vendor Balance Sheet'!A7,'Payment Details'!C4:C995)</f>
        <v>41250</v>
      </c>
      <c r="D7" s="7">
        <f t="shared" si="0"/>
        <v>0</v>
      </c>
    </row>
    <row r="8" spans="1:4" x14ac:dyDescent="0.35">
      <c r="A8" s="6" t="str">
        <v>CHAKRA TRADERS</v>
      </c>
      <c r="B8" s="7">
        <f>SUMIF('Material Details'!D7:D1014,A8,'Material Details'!H7:H1014)</f>
        <v>49400</v>
      </c>
      <c r="C8" s="7">
        <f>SUMIF('Payment Details'!B5:B996,'Vendor Balance Sheet'!A8,'Payment Details'!C5:C996)</f>
        <v>43500</v>
      </c>
      <c r="D8" s="7">
        <f t="shared" ref="D8:D10" si="1">B8-C8</f>
        <v>5900</v>
      </c>
    </row>
    <row r="9" spans="1:4" hidden="1" x14ac:dyDescent="0.35">
      <c r="A9" s="6">
        <v>0</v>
      </c>
      <c r="B9" s="7"/>
      <c r="C9" s="7">
        <f>SUMIF('Payment Details'!B6:B997,'Vendor Balance Sheet'!A9,'Payment Details'!C6:C997)</f>
        <v>0</v>
      </c>
      <c r="D9" s="7">
        <f t="shared" si="1"/>
        <v>0</v>
      </c>
    </row>
    <row r="10" spans="1:4" x14ac:dyDescent="0.35">
      <c r="A10" s="6" t="str">
        <v>AMARUN FLYASH</v>
      </c>
      <c r="B10" s="7">
        <f>SUMIF('Material Details'!D9:D1016,A10,'Material Details'!H9:H1016)</f>
        <v>24900.000000000004</v>
      </c>
      <c r="C10" s="7">
        <f>SUMIF('Payment Details'!B7:B998,'Vendor Balance Sheet'!A10,'Payment Details'!C7:C998)</f>
        <v>24900</v>
      </c>
      <c r="D10" s="7">
        <f t="shared" si="1"/>
        <v>0</v>
      </c>
    </row>
    <row r="11" spans="1:4" x14ac:dyDescent="0.35">
      <c r="A11" s="6" t="str">
        <v>LAKSHMI CERAMICS</v>
      </c>
      <c r="B11" s="7">
        <f>SUMIF('Material Details'!D10:D1017,A11,'Material Details'!H10:H1017)</f>
        <v>230845</v>
      </c>
      <c r="C11" s="7">
        <f>SUMIF('Payment Details'!B8:B999,'Vendor Balance Sheet'!A11,'Payment Details'!C8:C999)</f>
        <v>230845</v>
      </c>
      <c r="D11" s="7">
        <f t="shared" ref="D11" si="2">B11-C11</f>
        <v>0</v>
      </c>
    </row>
    <row r="12" spans="1:4" x14ac:dyDescent="0.35">
      <c r="A12" s="6" t="str">
        <v>ICONIC TRADERS</v>
      </c>
      <c r="B12" s="7">
        <f>SUMIF('Material Details'!D11:D1018,A12,'Material Details'!H11:H1018)</f>
        <v>11600</v>
      </c>
      <c r="C12" s="7">
        <f>SUMIF('Payment Details'!B9:B1000,'Vendor Balance Sheet'!A12,'Payment Details'!C9:C1000)</f>
        <v>11600</v>
      </c>
      <c r="D12" s="7">
        <f t="shared" ref="D12" si="3">B12-C12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CC5F-739E-45E9-AC65-8442CF552E38}">
  <dimension ref="A1:F48"/>
  <sheetViews>
    <sheetView tabSelected="1" topLeftCell="A28" workbookViewId="0">
      <selection activeCell="B48" sqref="B48"/>
    </sheetView>
  </sheetViews>
  <sheetFormatPr defaultRowHeight="14.5" x14ac:dyDescent="0.35"/>
  <cols>
    <col min="1" max="1" width="8.7265625" style="3"/>
    <col min="2" max="2" width="20.54296875" bestFit="1" customWidth="1"/>
    <col min="3" max="3" width="13.1796875" style="4" bestFit="1" customWidth="1"/>
    <col min="4" max="4" width="17.81640625" style="4" bestFit="1" customWidth="1"/>
    <col min="5" max="5" width="7.7265625" style="4" bestFit="1" customWidth="1"/>
    <col min="6" max="6" width="53.453125" bestFit="1" customWidth="1"/>
  </cols>
  <sheetData>
    <row r="1" spans="1:6" x14ac:dyDescent="0.35">
      <c r="A1" s="2" t="s">
        <v>0</v>
      </c>
      <c r="B1" s="1" t="s">
        <v>24</v>
      </c>
      <c r="C1" s="8" t="s">
        <v>6</v>
      </c>
      <c r="D1" s="8" t="s">
        <v>7</v>
      </c>
      <c r="E1" s="8" t="s">
        <v>27</v>
      </c>
      <c r="F1" s="1" t="s">
        <v>10</v>
      </c>
    </row>
    <row r="2" spans="1:6" x14ac:dyDescent="0.35">
      <c r="A2" s="5">
        <v>45919</v>
      </c>
      <c r="B2" s="6" t="s">
        <v>31</v>
      </c>
      <c r="C2" s="7">
        <v>90780</v>
      </c>
      <c r="D2" s="7" t="s">
        <v>30</v>
      </c>
      <c r="E2" s="7" t="s">
        <v>28</v>
      </c>
      <c r="F2" s="7" t="s">
        <v>32</v>
      </c>
    </row>
    <row r="3" spans="1:6" x14ac:dyDescent="0.35">
      <c r="A3" s="5">
        <v>45925</v>
      </c>
      <c r="B3" s="6" t="s">
        <v>35</v>
      </c>
      <c r="C3" s="7">
        <v>136800</v>
      </c>
      <c r="D3" s="7" t="s">
        <v>30</v>
      </c>
      <c r="E3" s="7" t="s">
        <v>36</v>
      </c>
      <c r="F3" s="7" t="s">
        <v>37</v>
      </c>
    </row>
    <row r="4" spans="1:6" x14ac:dyDescent="0.35">
      <c r="A4" s="5">
        <v>45927</v>
      </c>
      <c r="B4" s="6" t="s">
        <v>22</v>
      </c>
      <c r="C4" s="7">
        <v>37200</v>
      </c>
      <c r="D4" s="7" t="s">
        <v>30</v>
      </c>
      <c r="E4" s="7" t="s">
        <v>28</v>
      </c>
      <c r="F4" s="7" t="s">
        <v>39</v>
      </c>
    </row>
    <row r="5" spans="1:6" x14ac:dyDescent="0.35">
      <c r="A5" s="5">
        <v>45927</v>
      </c>
      <c r="B5" s="6" t="s">
        <v>31</v>
      </c>
      <c r="C5" s="7">
        <v>80650</v>
      </c>
      <c r="D5" s="7" t="s">
        <v>30</v>
      </c>
      <c r="E5" s="7" t="s">
        <v>28</v>
      </c>
      <c r="F5" s="7" t="s">
        <v>40</v>
      </c>
    </row>
    <row r="6" spans="1:6" x14ac:dyDescent="0.35">
      <c r="A6" s="5">
        <v>45941</v>
      </c>
      <c r="B6" s="6" t="s">
        <v>22</v>
      </c>
      <c r="C6" s="7">
        <v>29500</v>
      </c>
      <c r="D6" s="7" t="s">
        <v>42</v>
      </c>
      <c r="E6" s="7" t="s">
        <v>28</v>
      </c>
      <c r="F6" s="7" t="s">
        <v>39</v>
      </c>
    </row>
    <row r="7" spans="1:6" x14ac:dyDescent="0.35">
      <c r="A7" s="5">
        <v>45947</v>
      </c>
      <c r="B7" s="6" t="s">
        <v>17</v>
      </c>
      <c r="C7" s="7">
        <v>100000</v>
      </c>
      <c r="D7" s="7" t="s">
        <v>30</v>
      </c>
      <c r="E7" s="7" t="s">
        <v>36</v>
      </c>
      <c r="F7" s="7" t="s">
        <v>43</v>
      </c>
    </row>
    <row r="8" spans="1:6" x14ac:dyDescent="0.35">
      <c r="A8" s="5">
        <v>45955</v>
      </c>
      <c r="B8" s="6" t="s">
        <v>22</v>
      </c>
      <c r="C8" s="7">
        <v>17700</v>
      </c>
      <c r="D8" s="7" t="s">
        <v>30</v>
      </c>
      <c r="E8" s="7" t="s">
        <v>28</v>
      </c>
      <c r="F8" s="7" t="s">
        <v>39</v>
      </c>
    </row>
    <row r="9" spans="1:6" x14ac:dyDescent="0.35">
      <c r="A9" s="5">
        <v>45955</v>
      </c>
      <c r="B9" s="6" t="s">
        <v>31</v>
      </c>
      <c r="C9" s="7">
        <v>8350</v>
      </c>
      <c r="D9" s="7" t="s">
        <v>30</v>
      </c>
      <c r="E9" s="7" t="s">
        <v>28</v>
      </c>
      <c r="F9" s="7" t="s">
        <v>40</v>
      </c>
    </row>
    <row r="10" spans="1:6" x14ac:dyDescent="0.35">
      <c r="A10" s="5">
        <v>45955</v>
      </c>
      <c r="B10" s="6" t="s">
        <v>35</v>
      </c>
      <c r="C10" s="7">
        <v>136800</v>
      </c>
      <c r="D10" s="7" t="s">
        <v>30</v>
      </c>
      <c r="E10" s="7" t="s">
        <v>36</v>
      </c>
      <c r="F10" s="7" t="s">
        <v>44</v>
      </c>
    </row>
    <row r="11" spans="1:6" x14ac:dyDescent="0.35">
      <c r="A11" s="5">
        <v>45976</v>
      </c>
      <c r="B11" s="6" t="s">
        <v>31</v>
      </c>
      <c r="C11" s="7">
        <v>16370</v>
      </c>
      <c r="D11" s="7" t="s">
        <v>30</v>
      </c>
      <c r="E11" s="7" t="s">
        <v>28</v>
      </c>
      <c r="F11" s="7" t="s">
        <v>45</v>
      </c>
    </row>
    <row r="12" spans="1:6" x14ac:dyDescent="0.35">
      <c r="A12" s="5">
        <v>45983</v>
      </c>
      <c r="B12" s="6" t="s">
        <v>31</v>
      </c>
      <c r="C12" s="7">
        <v>50000</v>
      </c>
      <c r="D12" s="7" t="s">
        <v>30</v>
      </c>
      <c r="E12" s="7" t="s">
        <v>28</v>
      </c>
      <c r="F12" s="7" t="s">
        <v>49</v>
      </c>
    </row>
    <row r="13" spans="1:6" x14ac:dyDescent="0.35">
      <c r="A13" s="5">
        <v>45983</v>
      </c>
      <c r="B13" s="6" t="s">
        <v>17</v>
      </c>
      <c r="C13" s="7">
        <v>50000</v>
      </c>
      <c r="D13" s="7" t="s">
        <v>30</v>
      </c>
      <c r="E13" s="7" t="s">
        <v>36</v>
      </c>
      <c r="F13" s="7" t="s">
        <v>43</v>
      </c>
    </row>
    <row r="14" spans="1:6" x14ac:dyDescent="0.35">
      <c r="A14" s="5">
        <v>45989</v>
      </c>
      <c r="B14" s="6" t="s">
        <v>17</v>
      </c>
      <c r="C14" s="7">
        <v>50000</v>
      </c>
      <c r="D14" s="7" t="s">
        <v>30</v>
      </c>
      <c r="E14" s="7" t="s">
        <v>36</v>
      </c>
      <c r="F14" s="7" t="s">
        <v>43</v>
      </c>
    </row>
    <row r="15" spans="1:6" x14ac:dyDescent="0.35">
      <c r="A15" s="5">
        <v>45989</v>
      </c>
      <c r="B15" s="6" t="s">
        <v>22</v>
      </c>
      <c r="C15" s="7">
        <v>50000</v>
      </c>
      <c r="D15" s="7" t="s">
        <v>30</v>
      </c>
      <c r="E15" s="7" t="s">
        <v>28</v>
      </c>
      <c r="F15" s="7" t="s">
        <v>43</v>
      </c>
    </row>
    <row r="16" spans="1:6" x14ac:dyDescent="0.35">
      <c r="A16" s="5">
        <v>45989</v>
      </c>
      <c r="B16" s="6" t="s">
        <v>31</v>
      </c>
      <c r="C16" s="7">
        <v>50000</v>
      </c>
      <c r="D16" s="7" t="s">
        <v>30</v>
      </c>
      <c r="E16" s="7" t="s">
        <v>28</v>
      </c>
      <c r="F16" s="7" t="s">
        <v>43</v>
      </c>
    </row>
    <row r="17" spans="1:6" x14ac:dyDescent="0.35">
      <c r="A17" s="5">
        <v>46004</v>
      </c>
      <c r="B17" s="6" t="s">
        <v>31</v>
      </c>
      <c r="C17" s="7">
        <v>26000</v>
      </c>
      <c r="D17" s="7" t="s">
        <v>30</v>
      </c>
      <c r="E17" s="7" t="s">
        <v>28</v>
      </c>
      <c r="F17" s="7" t="s">
        <v>43</v>
      </c>
    </row>
    <row r="18" spans="1:6" x14ac:dyDescent="0.35">
      <c r="A18" s="5">
        <v>46011</v>
      </c>
      <c r="B18" s="6" t="s">
        <v>31</v>
      </c>
      <c r="C18" s="7">
        <v>25000</v>
      </c>
      <c r="D18" s="7" t="s">
        <v>30</v>
      </c>
      <c r="E18" s="7" t="s">
        <v>28</v>
      </c>
      <c r="F18" s="7" t="s">
        <v>43</v>
      </c>
    </row>
    <row r="19" spans="1:6" x14ac:dyDescent="0.35">
      <c r="A19" s="5">
        <v>46011</v>
      </c>
      <c r="B19" s="6" t="s">
        <v>48</v>
      </c>
      <c r="C19" s="7">
        <v>6050</v>
      </c>
      <c r="D19" s="7" t="s">
        <v>30</v>
      </c>
      <c r="E19" s="7" t="s">
        <v>28</v>
      </c>
      <c r="F19" s="7" t="s">
        <v>50</v>
      </c>
    </row>
    <row r="20" spans="1:6" x14ac:dyDescent="0.35">
      <c r="A20" s="5">
        <v>46015</v>
      </c>
      <c r="B20" s="6" t="s">
        <v>35</v>
      </c>
      <c r="C20" s="7">
        <v>60000</v>
      </c>
      <c r="D20" s="7" t="s">
        <v>30</v>
      </c>
      <c r="E20" s="7" t="s">
        <v>36</v>
      </c>
      <c r="F20" s="7" t="s">
        <v>51</v>
      </c>
    </row>
    <row r="21" spans="1:6" x14ac:dyDescent="0.35">
      <c r="A21" s="5">
        <v>46020</v>
      </c>
      <c r="B21" s="6" t="s">
        <v>22</v>
      </c>
      <c r="C21" s="7">
        <v>15000</v>
      </c>
      <c r="D21" s="7" t="s">
        <v>30</v>
      </c>
      <c r="E21" s="7" t="s">
        <v>28</v>
      </c>
      <c r="F21" s="7" t="s">
        <v>52</v>
      </c>
    </row>
    <row r="22" spans="1:6" x14ac:dyDescent="0.35">
      <c r="A22" s="5">
        <v>46023</v>
      </c>
      <c r="B22" s="6" t="s">
        <v>17</v>
      </c>
      <c r="C22" s="7">
        <v>50000</v>
      </c>
      <c r="D22" s="7" t="s">
        <v>53</v>
      </c>
      <c r="E22" s="7" t="s">
        <v>36</v>
      </c>
      <c r="F22" s="7" t="s">
        <v>43</v>
      </c>
    </row>
    <row r="23" spans="1:6" x14ac:dyDescent="0.35">
      <c r="A23" s="5">
        <v>46025</v>
      </c>
      <c r="B23" s="6" t="s">
        <v>48</v>
      </c>
      <c r="C23" s="7">
        <v>17500</v>
      </c>
      <c r="D23" s="7"/>
      <c r="E23" s="7" t="s">
        <v>28</v>
      </c>
      <c r="F23" s="7" t="s">
        <v>43</v>
      </c>
    </row>
    <row r="24" spans="1:6" x14ac:dyDescent="0.35">
      <c r="A24" s="5">
        <v>46032</v>
      </c>
      <c r="B24" s="6" t="s">
        <v>22</v>
      </c>
      <c r="C24" s="7">
        <v>16200</v>
      </c>
      <c r="D24" s="7" t="s">
        <v>30</v>
      </c>
      <c r="E24" s="7" t="s">
        <v>28</v>
      </c>
      <c r="F24" s="7" t="s">
        <v>54</v>
      </c>
    </row>
    <row r="25" spans="1:6" x14ac:dyDescent="0.35">
      <c r="A25" s="5">
        <v>46053</v>
      </c>
      <c r="B25" s="6" t="s">
        <v>31</v>
      </c>
      <c r="C25" s="7">
        <v>25000</v>
      </c>
      <c r="D25" s="7" t="s">
        <v>30</v>
      </c>
      <c r="E25" s="7" t="s">
        <v>28</v>
      </c>
      <c r="F25" s="7" t="s">
        <v>43</v>
      </c>
    </row>
    <row r="26" spans="1:6" x14ac:dyDescent="0.35">
      <c r="A26" s="5">
        <v>46053</v>
      </c>
      <c r="B26" s="6" t="s">
        <v>57</v>
      </c>
      <c r="C26" s="7">
        <v>25000</v>
      </c>
      <c r="D26" s="7" t="s">
        <v>42</v>
      </c>
      <c r="E26" s="7" t="s">
        <v>28</v>
      </c>
      <c r="F26" s="7" t="s">
        <v>43</v>
      </c>
    </row>
    <row r="27" spans="1:6" x14ac:dyDescent="0.35">
      <c r="A27" s="5">
        <v>46060</v>
      </c>
      <c r="B27" s="6" t="s">
        <v>31</v>
      </c>
      <c r="C27" s="7">
        <v>105000</v>
      </c>
      <c r="D27" s="7" t="s">
        <v>30</v>
      </c>
      <c r="E27" s="7" t="s">
        <v>28</v>
      </c>
      <c r="F27" s="7" t="s">
        <v>43</v>
      </c>
    </row>
    <row r="28" spans="1:6" x14ac:dyDescent="0.35">
      <c r="A28" s="5">
        <v>46067</v>
      </c>
      <c r="B28" s="6" t="s">
        <v>57</v>
      </c>
      <c r="C28" s="7">
        <v>10000</v>
      </c>
      <c r="D28" s="7" t="s">
        <v>30</v>
      </c>
      <c r="E28" s="7" t="s">
        <v>28</v>
      </c>
      <c r="F28" s="7" t="s">
        <v>43</v>
      </c>
    </row>
    <row r="29" spans="1:6" x14ac:dyDescent="0.35">
      <c r="A29" s="5">
        <v>46074</v>
      </c>
      <c r="B29" s="6" t="s">
        <v>35</v>
      </c>
      <c r="C29" s="7">
        <v>36000</v>
      </c>
      <c r="D29" s="7" t="s">
        <v>30</v>
      </c>
      <c r="E29" s="7" t="s">
        <v>36</v>
      </c>
      <c r="F29" s="7" t="s">
        <v>60</v>
      </c>
    </row>
    <row r="30" spans="1:6" x14ac:dyDescent="0.35">
      <c r="A30" s="5">
        <v>46074</v>
      </c>
      <c r="B30" s="6" t="s">
        <v>57</v>
      </c>
      <c r="C30" s="7">
        <v>6250</v>
      </c>
      <c r="D30" s="7" t="s">
        <v>30</v>
      </c>
      <c r="E30" s="7" t="s">
        <v>28</v>
      </c>
      <c r="F30" s="7" t="s">
        <v>39</v>
      </c>
    </row>
    <row r="31" spans="1:6" x14ac:dyDescent="0.35">
      <c r="A31" s="5">
        <v>46088</v>
      </c>
      <c r="B31" s="6" t="s">
        <v>17</v>
      </c>
      <c r="C31" s="7">
        <v>50000</v>
      </c>
      <c r="D31" s="7" t="s">
        <v>30</v>
      </c>
      <c r="E31" s="7" t="s">
        <v>36</v>
      </c>
      <c r="F31" s="7" t="s">
        <v>43</v>
      </c>
    </row>
    <row r="32" spans="1:6" x14ac:dyDescent="0.35">
      <c r="A32" s="5">
        <v>46102</v>
      </c>
      <c r="B32" s="6" t="s">
        <v>22</v>
      </c>
      <c r="C32" s="7">
        <v>10750</v>
      </c>
      <c r="D32" s="7" t="s">
        <v>30</v>
      </c>
      <c r="E32" s="7" t="s">
        <v>28</v>
      </c>
      <c r="F32" s="7" t="s">
        <v>43</v>
      </c>
    </row>
    <row r="33" spans="1:6" x14ac:dyDescent="0.35">
      <c r="A33" s="5">
        <v>46102</v>
      </c>
      <c r="B33" s="6" t="s">
        <v>61</v>
      </c>
      <c r="C33" s="7">
        <v>13500</v>
      </c>
      <c r="D33" s="7" t="s">
        <v>30</v>
      </c>
      <c r="E33" s="7" t="s">
        <v>28</v>
      </c>
      <c r="F33" s="7" t="s">
        <v>62</v>
      </c>
    </row>
    <row r="34" spans="1:6" x14ac:dyDescent="0.35">
      <c r="A34" s="5">
        <v>46109</v>
      </c>
      <c r="B34" s="6" t="s">
        <v>31</v>
      </c>
      <c r="C34" s="7">
        <v>50000</v>
      </c>
      <c r="D34" s="7" t="s">
        <v>30</v>
      </c>
      <c r="E34" s="7" t="s">
        <v>28</v>
      </c>
      <c r="F34" s="7" t="s">
        <v>43</v>
      </c>
    </row>
    <row r="35" spans="1:6" x14ac:dyDescent="0.35">
      <c r="A35" s="5">
        <v>46120</v>
      </c>
      <c r="B35" s="6" t="s">
        <v>35</v>
      </c>
      <c r="C35" s="7">
        <v>19200</v>
      </c>
      <c r="D35" s="7" t="s">
        <v>30</v>
      </c>
      <c r="E35" s="7" t="s">
        <v>36</v>
      </c>
      <c r="F35" s="7" t="s">
        <v>63</v>
      </c>
    </row>
    <row r="36" spans="1:6" x14ac:dyDescent="0.35">
      <c r="A36" s="5">
        <v>46125</v>
      </c>
      <c r="B36" s="6" t="s">
        <v>17</v>
      </c>
      <c r="C36" s="7">
        <v>100000</v>
      </c>
      <c r="D36" s="7" t="s">
        <v>30</v>
      </c>
      <c r="E36" s="7" t="s">
        <v>36</v>
      </c>
      <c r="F36" s="7" t="s">
        <v>64</v>
      </c>
    </row>
    <row r="37" spans="1:6" x14ac:dyDescent="0.35">
      <c r="A37" s="5">
        <v>46128</v>
      </c>
      <c r="B37" s="6" t="s">
        <v>22</v>
      </c>
      <c r="C37" s="7">
        <v>20000</v>
      </c>
      <c r="D37" s="7" t="s">
        <v>42</v>
      </c>
      <c r="E37" s="7" t="s">
        <v>28</v>
      </c>
      <c r="F37" s="7" t="s">
        <v>39</v>
      </c>
    </row>
    <row r="38" spans="1:6" x14ac:dyDescent="0.35">
      <c r="A38" s="5">
        <v>46144</v>
      </c>
      <c r="B38" s="6" t="s">
        <v>69</v>
      </c>
      <c r="C38" s="7">
        <v>24900</v>
      </c>
      <c r="D38" s="7" t="s">
        <v>42</v>
      </c>
      <c r="E38" s="7" t="s">
        <v>36</v>
      </c>
      <c r="F38" s="7" t="s">
        <v>71</v>
      </c>
    </row>
    <row r="39" spans="1:6" x14ac:dyDescent="0.35">
      <c r="A39" s="5">
        <v>46150</v>
      </c>
      <c r="B39" s="6" t="s">
        <v>74</v>
      </c>
      <c r="C39" s="7">
        <v>50000</v>
      </c>
      <c r="D39" s="7" t="s">
        <v>42</v>
      </c>
      <c r="E39" s="7" t="s">
        <v>28</v>
      </c>
      <c r="F39" s="7" t="s">
        <v>75</v>
      </c>
    </row>
    <row r="40" spans="1:6" x14ac:dyDescent="0.35">
      <c r="A40" s="5">
        <v>46151</v>
      </c>
      <c r="B40" s="6" t="s">
        <v>74</v>
      </c>
      <c r="C40" s="7">
        <v>178000</v>
      </c>
      <c r="D40" s="7" t="s">
        <v>42</v>
      </c>
      <c r="E40" s="7" t="s">
        <v>28</v>
      </c>
      <c r="F40" s="7" t="s">
        <v>76</v>
      </c>
    </row>
    <row r="41" spans="1:6" x14ac:dyDescent="0.35">
      <c r="A41" s="5">
        <v>46151</v>
      </c>
      <c r="B41" s="6" t="s">
        <v>48</v>
      </c>
      <c r="C41" s="7">
        <v>50000</v>
      </c>
      <c r="D41" s="7" t="s">
        <v>42</v>
      </c>
      <c r="E41" s="7" t="s">
        <v>28</v>
      </c>
      <c r="F41" s="7" t="s">
        <v>43</v>
      </c>
    </row>
    <row r="42" spans="1:6" x14ac:dyDescent="0.35">
      <c r="A42" s="5">
        <v>46151</v>
      </c>
      <c r="B42" s="6" t="s">
        <v>22</v>
      </c>
      <c r="C42" s="7">
        <v>25000</v>
      </c>
      <c r="D42" s="7" t="s">
        <v>42</v>
      </c>
      <c r="E42" s="7" t="s">
        <v>28</v>
      </c>
      <c r="F42" s="7" t="s">
        <v>43</v>
      </c>
    </row>
    <row r="43" spans="1:6" x14ac:dyDescent="0.35">
      <c r="A43" s="5">
        <v>46154</v>
      </c>
      <c r="B43" s="6" t="s">
        <v>74</v>
      </c>
      <c r="C43" s="7">
        <v>2845</v>
      </c>
      <c r="D43" s="7" t="s">
        <v>42</v>
      </c>
      <c r="E43" s="7" t="s">
        <v>28</v>
      </c>
      <c r="F43" s="7" t="s">
        <v>62</v>
      </c>
    </row>
    <row r="44" spans="1:6" x14ac:dyDescent="0.35">
      <c r="A44" s="5">
        <v>46158</v>
      </c>
      <c r="B44" s="6" t="s">
        <v>48</v>
      </c>
      <c r="C44" s="7">
        <v>30000</v>
      </c>
      <c r="D44" s="7" t="s">
        <v>30</v>
      </c>
      <c r="E44" s="7" t="s">
        <v>28</v>
      </c>
      <c r="F44" s="7" t="s">
        <v>43</v>
      </c>
    </row>
    <row r="45" spans="1:6" x14ac:dyDescent="0.35">
      <c r="A45" s="5">
        <v>46158</v>
      </c>
      <c r="B45" s="6" t="s">
        <v>22</v>
      </c>
      <c r="C45" s="7">
        <v>2675</v>
      </c>
      <c r="D45" s="7" t="s">
        <v>30</v>
      </c>
      <c r="E45" s="7" t="s">
        <v>28</v>
      </c>
      <c r="F45" s="7" t="s">
        <v>54</v>
      </c>
    </row>
    <row r="46" spans="1:6" x14ac:dyDescent="0.35">
      <c r="A46" s="5">
        <v>46158</v>
      </c>
      <c r="B46" s="6" t="s">
        <v>17</v>
      </c>
      <c r="C46" s="7">
        <v>50000</v>
      </c>
      <c r="D46" s="7" t="s">
        <v>30</v>
      </c>
      <c r="E46" s="7" t="s">
        <v>36</v>
      </c>
      <c r="F46" s="7" t="s">
        <v>43</v>
      </c>
    </row>
    <row r="47" spans="1:6" x14ac:dyDescent="0.35">
      <c r="A47" s="5">
        <v>46179</v>
      </c>
      <c r="B47" s="6" t="s">
        <v>78</v>
      </c>
      <c r="C47" s="7">
        <v>11600</v>
      </c>
      <c r="D47" s="7" t="s">
        <v>30</v>
      </c>
      <c r="E47" s="7" t="s">
        <v>28</v>
      </c>
      <c r="F47" s="7" t="s">
        <v>79</v>
      </c>
    </row>
    <row r="48" spans="1:6" x14ac:dyDescent="0.35">
      <c r="A48" s="3">
        <v>46179</v>
      </c>
      <c r="B48" s="22" t="s">
        <v>61</v>
      </c>
      <c r="C48" s="4">
        <v>30000</v>
      </c>
      <c r="D48" s="4" t="s">
        <v>30</v>
      </c>
      <c r="E48" s="4" t="s">
        <v>28</v>
      </c>
    </row>
  </sheetData>
  <autoFilter ref="A1:F1" xr:uid="{B843CC5F-739E-45E9-AC65-8442CF552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Details</vt:lpstr>
      <vt:lpstr>Reference Table</vt:lpstr>
      <vt:lpstr>Materials Total QTY</vt:lpstr>
      <vt:lpstr>Vendor Balance Sheet</vt:lpstr>
      <vt:lpstr>Payment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Jayabalan, Tamilselvan</dc:creator>
  <cp:lastModifiedBy>Tamilselvan Jayabalan</cp:lastModifiedBy>
  <dcterms:created xsi:type="dcterms:W3CDTF">2015-06-05T18:17:20Z</dcterms:created>
  <dcterms:modified xsi:type="dcterms:W3CDTF">2026-06-06T12:05:14Z</dcterms:modified>
</cp:coreProperties>
</file>